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egend" sheetId="1" state="visible" r:id="rId1"/>
    <sheet name="Experiments" sheetId="2" state="visible" r:id="rId2"/>
    <sheet name="Seeds" sheetId="3" state="visible" r:id="rId3"/>
    <sheet name="Summary" sheetId="4" state="visible" r:id="rId4"/>
    <sheet name="Extra" sheetId="5" state="visible" r:id="rId5"/>
    <sheet name="History" sheetId="6" state="visible" r:id="rId6"/>
  </sheets>
  <definedNames>
    <definedName name="_xlnm._FilterDatabase" localSheetId="1" hidden="1">'Experiments'!$A$1:$AG$61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9" min="1" max="1"/>
    <col width="60" customWidth="1" style="19" min="2" max="2"/>
    <col width="52" customWidth="1" style="19" min="3" max="3"/>
    <col width="14" customWidth="1" style="19" min="4" max="12"/>
  </cols>
  <sheetData>
    <row r="1" ht="17.35" customHeight="1" s="20">
      <c r="A1" s="21" t="inlineStr">
        <is>
          <t>Bảng so sánh thí nghiệm — Lab Day 1</t>
        </is>
      </c>
    </row>
    <row r="2" ht="15" customHeight="1" s="20">
      <c r="A2" s="22" t="inlineStr">
        <is>
          <t>Lưu file này thành experiments.xlsx. Mỗi lần chạy là một dòng ở sheet Experiments (số dòng tuỳ bạn, có sẵn 60 dòng). Sheet Seeds và Summary tự tổng hợp.</t>
        </is>
      </c>
    </row>
    <row r="4" ht="15" customHeight="1" s="20">
      <c r="A4" s="23" t="inlineStr">
        <is>
          <t>Quy ước màu</t>
        </is>
      </c>
    </row>
    <row r="5" ht="15" customHeight="1" s="20">
      <c r="A5" s="24" t="inlineStr">
        <is>
          <t>   </t>
        </is>
      </c>
      <c r="B5" s="22" t="inlineStr">
        <is>
          <t>Ô vàng: bạn điền (cấu hình và kết quả đo).</t>
        </is>
      </c>
    </row>
    <row r="6" ht="15" customHeight="1" s="20">
      <c r="A6" s="25" t="inlineStr">
        <is>
          <t>abc</t>
        </is>
      </c>
      <c r="B6" s="22" t="inlineStr">
        <is>
          <t>Chữ xanh dương: giá trị đã điền sẵn cho dòng baseline; bạn có thể sửa.</t>
        </is>
      </c>
    </row>
    <row r="7" ht="15" customHeight="1" s="20">
      <c r="A7" s="26" t="inlineStr">
        <is>
          <t>   </t>
        </is>
      </c>
      <c r="B7" s="22" t="inlineStr">
        <is>
          <t>Ô xám: công thức tự tính. Không sửa.</t>
        </is>
      </c>
    </row>
    <row r="9" ht="15" customHeight="1" s="20">
      <c r="A9" s="23" t="inlineStr">
        <is>
          <t>Cách dùng</t>
        </is>
      </c>
    </row>
    <row r="10" ht="15" customHeight="1" s="20">
      <c r="A10" s="22" t="inlineStr">
        <is>
          <t>1. Sheet Experiments: dòng đầu là baseline mẫu. Điền lr và kết quả; thêm dòng cho mỗi thí nghiệm khác.</t>
        </is>
      </c>
    </row>
    <row r="11" ht="15" customHeight="1" s="20">
      <c r="A11" s="22" t="inlineStr">
        <is>
          <t>2. Mỗi dòng phải có ảnh riêng figures/&lt;exp_id&gt;.png. Điền tên file vào cột figure_file.</t>
        </is>
      </c>
    </row>
    <row r="12" ht="15" customHeight="1" s="20">
      <c r="A12" s="22" t="inlineStr">
        <is>
          <t>3. Sheet Seeds: nhập exp_id của các lần chạy baseline với seed khác nhau (đã gợi ý base-s1..3). Sheet tự tính trung bình, σ và 2σ.</t>
        </is>
      </c>
    </row>
    <row r="13" ht="15" customHeight="1" s="20">
      <c r="A13" s="22" t="inlineStr">
        <is>
          <t>4. Cột beyond_noise cho biết chênh lệch val_macro_f1 so với baseline có vượt 2σ không. Chỉ 'Có' mới là bằng chứng.</t>
        </is>
      </c>
    </row>
    <row r="14" ht="15" customHeight="1" s="20">
      <c r="A14" s="22" t="inlineStr">
        <is>
          <t>5. Sheet Summary: số dòng theo nhóm và số chủ đề (trong 7) đã được thử.</t>
        </is>
      </c>
    </row>
    <row r="16" ht="15" customHeight="1" s="20">
      <c r="A16" s="23" t="inlineStr">
        <is>
          <t>Từ điển cột (sheet Experiments)</t>
        </is>
      </c>
    </row>
    <row r="17" ht="15" customHeight="1" s="20">
      <c r="A17" s="27" t="inlineStr">
        <is>
          <t>Cột</t>
        </is>
      </c>
      <c r="B17" s="27" t="inlineStr">
        <is>
          <t>Ý nghĩa</t>
        </is>
      </c>
      <c r="C17" s="27" t="inlineStr">
        <is>
          <t>Cách điền</t>
        </is>
      </c>
    </row>
    <row r="18" ht="15" customHeight="1" s="20">
      <c r="A18" s="28" t="inlineStr">
        <is>
          <t>exp_id</t>
        </is>
      </c>
      <c r="B18" s="29" t="inlineStr">
        <is>
          <t>Mã thí nghiệm, duy nhất; trùng tên file ảnh</t>
        </is>
      </c>
      <c r="C18" s="29" t="inlineStr">
        <is>
          <t>Tự đặt, ví dụ base-s1, opt-adam-lr1e-3, drop-0.3.</t>
        </is>
      </c>
    </row>
    <row r="19" ht="23.85" customHeight="1" s="20">
      <c r="A19" s="28" t="inlineStr">
        <is>
          <t>group</t>
        </is>
      </c>
      <c r="B19" s="29" t="inlineStr">
        <is>
          <t>Nhóm: baseline | loss | optimizer | hparam | dropout | clipping | amp | init | final | other</t>
        </is>
      </c>
      <c r="C19" s="29" t="inlineStr">
        <is>
          <t>Chọn từ danh sách.</t>
        </is>
      </c>
    </row>
    <row r="20" ht="15" customHeight="1" s="20">
      <c r="A20" s="28" t="inlineStr">
        <is>
          <t>description</t>
        </is>
      </c>
      <c r="B20" s="29" t="inlineStr">
        <is>
          <t>Bạn đổi gì so với baseline</t>
        </is>
      </c>
      <c r="C20" s="29" t="inlineStr">
        <is>
          <t>Một câu.</t>
        </is>
      </c>
    </row>
    <row r="21" ht="15" customHeight="1" s="20">
      <c r="A21" s="28" t="inlineStr">
        <is>
          <t>loss</t>
        </is>
      </c>
      <c r="B21" s="29" t="inlineStr">
        <is>
          <t>Hàm mất mát: CE | MSE</t>
        </is>
      </c>
      <c r="C21" s="29" t="inlineStr">
        <is>
          <t>Chọn từ danh sách.</t>
        </is>
      </c>
    </row>
    <row r="22" ht="15" customHeight="1" s="20">
      <c r="A22" s="28" t="inlineStr">
        <is>
          <t>optimizer</t>
        </is>
      </c>
      <c r="B22" s="29" t="inlineStr">
        <is>
          <t>SGD | SGD+momentum | Adam | AdamW</t>
        </is>
      </c>
      <c r="C22" s="29" t="inlineStr">
        <is>
          <t>Chọn từ danh sách.</t>
        </is>
      </c>
    </row>
    <row r="23" ht="15" customHeight="1" s="20">
      <c r="A23" s="28" t="inlineStr">
        <is>
          <t>lr</t>
        </is>
      </c>
      <c r="B23" s="29" t="inlineStr">
        <is>
          <t>Tốc độ học η</t>
        </is>
      </c>
      <c r="C23" s="29" t="inlineStr">
        <is>
          <t>Ghi số, ví dụ 0.05 hoặc 1e-3.</t>
        </is>
      </c>
    </row>
    <row r="24" ht="15" customHeight="1" s="20">
      <c r="A24" s="28" t="inlineStr">
        <is>
          <t>weight_decay</t>
        </is>
      </c>
      <c r="B24" s="29" t="inlineStr">
        <is>
          <t>Hệ số suy giảm trọng số λ</t>
        </is>
      </c>
      <c r="C24" s="29" t="inlineStr">
        <is>
          <t>0 nếu không dùng.</t>
        </is>
      </c>
    </row>
    <row r="25" ht="15" customHeight="1" s="20">
      <c r="A25" s="28" t="inlineStr">
        <is>
          <t>batch</t>
        </is>
      </c>
      <c r="B25" s="29" t="inlineStr">
        <is>
          <t>Kích thước lô</t>
        </is>
      </c>
      <c r="C25" s="29" t="inlineStr">
        <is>
          <t>Số nguyên.</t>
        </is>
      </c>
    </row>
    <row r="26" ht="15" customHeight="1" s="20">
      <c r="A26" s="28" t="inlineStr">
        <is>
          <t>epochs</t>
        </is>
      </c>
      <c r="B26" s="29" t="inlineStr">
        <is>
          <t>Số epoch</t>
        </is>
      </c>
      <c r="C26" s="29" t="inlineStr">
        <is>
          <t>Khuyến nghị 20 cho mọi thí nghiệm.</t>
        </is>
      </c>
    </row>
    <row r="27" ht="15" customHeight="1" s="20">
      <c r="A27" s="28" t="inlineStr">
        <is>
          <t>hidden</t>
        </is>
      </c>
      <c r="B27" s="29" t="inlineStr">
        <is>
          <t>Các lớp ẩn, ví dụ 256-128</t>
        </is>
      </c>
      <c r="C27" s="29" t="inlineStr">
        <is>
          <t>Chuỗi nối bằng dấu gạch.</t>
        </is>
      </c>
    </row>
    <row r="28" ht="15" customHeight="1" s="20">
      <c r="A28" s="28" t="inlineStr">
        <is>
          <t>dropout</t>
        </is>
      </c>
      <c r="B28" s="29" t="inlineStr">
        <is>
          <t>Xác suất tắt nơ-ron q</t>
        </is>
      </c>
      <c r="C28" s="29" t="inlineStr">
        <is>
          <t>0 nếu không dùng.</t>
        </is>
      </c>
    </row>
    <row r="29" ht="15" customHeight="1" s="20">
      <c r="A29" s="28" t="inlineStr">
        <is>
          <t>clip_norm</t>
        </is>
      </c>
      <c r="B29" s="29" t="inlineStr">
        <is>
          <t>Ngưỡng cắt gradient c</t>
        </is>
      </c>
      <c r="C29" s="29" t="inlineStr">
        <is>
          <t>'none' nếu không clip, hoặc số.</t>
        </is>
      </c>
    </row>
    <row r="30" ht="15" customHeight="1" s="20">
      <c r="A30" s="28" t="inlineStr">
        <is>
          <t>precision</t>
        </is>
      </c>
      <c r="B30" s="29" t="inlineStr">
        <is>
          <t>fp32 | fp16 | bf16</t>
        </is>
      </c>
      <c r="C30" s="29" t="inlineStr">
        <is>
          <t>Chọn từ danh sách.</t>
        </is>
      </c>
    </row>
    <row r="31" ht="15" customHeight="1" s="20">
      <c r="A31" s="28" t="inlineStr">
        <is>
          <t>init</t>
        </is>
      </c>
      <c r="B31" s="29" t="inlineStr">
        <is>
          <t>zeros | normal | xavier | he | default</t>
        </is>
      </c>
      <c r="C31" s="29" t="inlineStr">
        <is>
          <t>Chọn từ danh sách; 'default' = mặc định của nn.Linear.</t>
        </is>
      </c>
    </row>
    <row r="32" ht="15" customHeight="1" s="20">
      <c r="A32" s="28" t="inlineStr">
        <is>
          <t>seed</t>
        </is>
      </c>
      <c r="B32" s="29" t="inlineStr">
        <is>
          <t>Seed của lần chạy</t>
        </is>
      </c>
      <c r="C32" s="29" t="inlineStr">
        <is>
          <t>Số nguyên.</t>
        </is>
      </c>
    </row>
    <row r="33" ht="15" customHeight="1" s="20">
      <c r="A33" s="28" t="inlineStr">
        <is>
          <t>step0_loss</t>
        </is>
      </c>
      <c r="B33" s="29" t="inlineStr">
        <is>
          <t>Loss trên val ở bước 0 (trước cập nhật đầu tiên)</t>
        </is>
      </c>
      <c r="C33" s="29" t="inlineStr">
        <is>
          <t>Kỳ vọng ≈ ln 7 = 1.946 nếu khởi tạo hợp lý.</t>
        </is>
      </c>
    </row>
    <row r="34" ht="15" customHeight="1" s="20">
      <c r="A34" s="28" t="inlineStr">
        <is>
          <t>best_val_loss</t>
        </is>
      </c>
      <c r="B34" s="29" t="inlineStr">
        <is>
          <t>Val loss thấp nhất qua các epoch</t>
        </is>
      </c>
      <c r="C34" s="29" t="n"/>
    </row>
    <row r="35" ht="15" customHeight="1" s="20">
      <c r="A35" s="28" t="inlineStr">
        <is>
          <t>best_epoch</t>
        </is>
      </c>
      <c r="B35" s="29" t="inlineStr">
        <is>
          <t>Epoch đạt best_val_loss</t>
        </is>
      </c>
      <c r="C35" s="29" t="inlineStr">
        <is>
          <t>Đếm từ 1.</t>
        </is>
      </c>
    </row>
    <row r="36" ht="15" customHeight="1" s="20">
      <c r="A36" s="28" t="inlineStr">
        <is>
          <t>final_train_loss</t>
        </is>
      </c>
      <c r="B36" s="29" t="inlineStr">
        <is>
          <t>Train loss ở epoch cuối (đo ở chế độ eval)</t>
        </is>
      </c>
      <c r="C36" s="29" t="n"/>
    </row>
    <row r="37" ht="15" customHeight="1" s="20">
      <c r="A37" s="28" t="inlineStr">
        <is>
          <t>final_val_loss</t>
        </is>
      </c>
      <c r="B37" s="29" t="inlineStr">
        <is>
          <t>Val loss ở epoch cuối</t>
        </is>
      </c>
      <c r="C37" s="29" t="n"/>
    </row>
    <row r="38" ht="15" customHeight="1" s="20">
      <c r="A38" s="28" t="inlineStr">
        <is>
          <t>val_acc</t>
        </is>
      </c>
      <c r="B38" s="29" t="inlineStr">
        <is>
          <t>Val accuracy ở best_epoch</t>
        </is>
      </c>
      <c r="C38" s="29" t="inlineStr">
        <is>
          <t>Phân số 0–1, ví dụ 0.8123.</t>
        </is>
      </c>
    </row>
    <row r="39" ht="15" customHeight="1" s="20">
      <c r="A39" s="28" t="inlineStr">
        <is>
          <t>val_macro_f1</t>
        </is>
      </c>
      <c r="B39" s="29" t="inlineStr">
        <is>
          <t>Val macro-F1 ở best_epoch</t>
        </is>
      </c>
      <c r="C39" s="29" t="inlineStr">
        <is>
          <t>Phân số 0–1.</t>
        </is>
      </c>
    </row>
    <row r="40" ht="15" customHeight="1" s="20">
      <c r="A40" s="28" t="inlineStr">
        <is>
          <t>time_per_epoch_s</t>
        </is>
      </c>
      <c r="B40" s="29" t="inlineStr">
        <is>
          <t>Thời gian trung bình mỗi epoch (giây)</t>
        </is>
      </c>
      <c r="C40" s="29" t="inlineStr">
        <is>
          <t>Có torch.cuda.synchronize().</t>
        </is>
      </c>
    </row>
    <row r="41" ht="15" customHeight="1" s="20">
      <c r="A41" s="28" t="inlineStr">
        <is>
          <t>peak_mem_MB</t>
        </is>
      </c>
      <c r="B41" s="29" t="inlineStr">
        <is>
          <t>Bộ nhớ GPU cực đại (MB)</t>
        </is>
      </c>
      <c r="C41" s="29" t="inlineStr">
        <is>
          <t>torch.cuda.max_memory_allocated()/2**20.</t>
        </is>
      </c>
    </row>
    <row r="42" ht="15" customHeight="1" s="20">
      <c r="A42" s="28" t="inlineStr">
        <is>
          <t>diverged</t>
        </is>
      </c>
      <c r="B42" s="29" t="inlineStr">
        <is>
          <t>Loss thành NaN/inf? Y | N</t>
        </is>
      </c>
      <c r="C42" s="29" t="inlineStr">
        <is>
          <t>Chọn từ danh sách.</t>
        </is>
      </c>
    </row>
    <row r="43" ht="23.85" customHeight="1" s="20">
      <c r="A43" s="28" t="inlineStr">
        <is>
          <t>eval_acc</t>
        </is>
      </c>
      <c r="B43" s="29" t="inlineStr">
        <is>
          <t>Accuracy trên tập eval</t>
        </is>
      </c>
      <c r="C43" s="29" t="inlineStr">
        <is>
          <t>CHỈ điền cho baseline và cấu hình cuối cùng, lấy từ eval_result.json.</t>
        </is>
      </c>
    </row>
    <row r="44" ht="23.85" customHeight="1" s="20">
      <c r="A44" s="28" t="inlineStr">
        <is>
          <t>eval_macro_f1</t>
        </is>
      </c>
      <c r="B44" s="29" t="inlineStr">
        <is>
          <t>macro-F1 trên tập eval</t>
        </is>
      </c>
      <c r="C44" s="29" t="inlineStr">
        <is>
          <t>CHỈ điền cho baseline và cấu hình cuối cùng, lấy từ eval_result.json.</t>
        </is>
      </c>
    </row>
    <row r="45" ht="15" customHeight="1" s="20">
      <c r="A45" s="28" t="inlineStr">
        <is>
          <t>figure_file</t>
        </is>
      </c>
      <c r="B45" s="29" t="inlineStr">
        <is>
          <t>Tên file ảnh</t>
        </is>
      </c>
      <c r="C45" s="29" t="inlineStr">
        <is>
          <t>figures/&lt;exp_id&gt;.png</t>
        </is>
      </c>
    </row>
    <row r="46" ht="15" customHeight="1" s="20">
      <c r="A46" s="28" t="inlineStr">
        <is>
          <t>notes</t>
        </is>
      </c>
      <c r="B46" s="29" t="inlineStr">
        <is>
          <t>Ghi chú</t>
        </is>
      </c>
      <c r="C46" s="29" t="inlineStr">
        <is>
          <t>Dự đoán trước, quan sát, lý do thiếu số liệu, lỗi gặp phải...</t>
        </is>
      </c>
    </row>
    <row r="47" ht="15" customHeight="1" s="20">
      <c r="A47" s="28" t="inlineStr">
        <is>
          <t>step0_gap_vs_lnC</t>
        </is>
      </c>
      <c r="B47" s="29" t="inlineStr">
        <is>
          <t>step0_loss − ln 7</t>
        </is>
      </c>
      <c r="C47" s="29" t="inlineStr">
        <is>
          <t>Tự tính. Gần 0 là tốt.</t>
        </is>
      </c>
    </row>
    <row r="48" ht="15" customHeight="1" s="20">
      <c r="A48" s="28" t="inlineStr">
        <is>
          <t>gap_val_minus_train</t>
        </is>
      </c>
      <c r="B48" s="29" t="inlineStr">
        <is>
          <t>final_val_loss − final_train_loss</t>
        </is>
      </c>
      <c r="C48" s="29" t="inlineStr">
        <is>
          <t>Tự tính. Khoảng cách quá khớp.</t>
        </is>
      </c>
    </row>
    <row r="49" ht="15" customHeight="1" s="20">
      <c r="A49" s="28" t="inlineStr">
        <is>
          <t>delta_val_f1_vs_base</t>
        </is>
      </c>
      <c r="B49" s="29" t="inlineStr">
        <is>
          <t>val_macro_f1 − trung bình baseline</t>
        </is>
      </c>
      <c r="C49" s="29" t="inlineStr">
        <is>
          <t>Tự tính từ sheet Seeds.</t>
        </is>
      </c>
    </row>
    <row r="50" ht="15" customHeight="1" s="20">
      <c r="A50" s="28" t="inlineStr">
        <is>
          <t>beyond_noise</t>
        </is>
      </c>
      <c r="B50" s="29" t="inlineStr">
        <is>
          <t>|delta| &gt; 2σ_seed ?</t>
        </is>
      </c>
      <c r="C50" s="29" t="inlineStr">
        <is>
          <t>Tự tính: Có / Không. Cần ≥ 2 seed baseline trong sheet Seeds.</t>
        </is>
      </c>
    </row>
    <row r="52" ht="15" customHeight="1" s="20">
      <c r="A52" s="23" t="inlineStr">
        <is>
          <t>Ví dụ một dòng điền xong (SỐ MINH HOẠ ĐỊNH DẠNG, KHÔNG PHẢI KẾT QUẢ THẬT — đừng sao chép)</t>
        </is>
      </c>
    </row>
    <row r="53" ht="23.85" customHeight="1" s="20">
      <c r="A53" s="30" t="inlineStr">
        <is>
          <t>exp_id</t>
        </is>
      </c>
      <c r="B53" s="30" t="inlineStr">
        <is>
          <t>group</t>
        </is>
      </c>
      <c r="C53" s="30" t="inlineStr">
        <is>
          <t>optimizer</t>
        </is>
      </c>
      <c r="D53" s="30" t="inlineStr">
        <is>
          <t>lr</t>
        </is>
      </c>
      <c r="E53" s="30" t="inlineStr">
        <is>
          <t>step0_loss</t>
        </is>
      </c>
      <c r="F53" s="30" t="inlineStr">
        <is>
          <t>best_val_loss</t>
        </is>
      </c>
      <c r="G53" s="30" t="inlineStr">
        <is>
          <t>best_epoch</t>
        </is>
      </c>
      <c r="H53" s="30" t="inlineStr">
        <is>
          <t>val_acc</t>
        </is>
      </c>
      <c r="I53" s="30" t="inlineStr">
        <is>
          <t>val_macro_f1</t>
        </is>
      </c>
      <c r="J53" s="30" t="inlineStr">
        <is>
          <t>time_per_epoch_s</t>
        </is>
      </c>
      <c r="K53" s="30" t="inlineStr">
        <is>
          <t>diverged</t>
        </is>
      </c>
      <c r="L53" s="30" t="inlineStr">
        <is>
          <t>figure_file</t>
        </is>
      </c>
    </row>
    <row r="54" ht="15" customHeight="1" s="20">
      <c r="A54" s="31" t="inlineStr">
        <is>
          <t>opt-adam-lr1e-3</t>
        </is>
      </c>
      <c r="B54" s="31" t="inlineStr">
        <is>
          <t>optimizer</t>
        </is>
      </c>
      <c r="C54" s="31" t="inlineStr">
        <is>
          <t>Adam</t>
        </is>
      </c>
      <c r="D54" s="31" t="n">
        <v>0.001</v>
      </c>
      <c r="E54" s="31" t="n">
        <v>1.95</v>
      </c>
      <c r="F54" s="31" t="n">
        <v>0.6</v>
      </c>
      <c r="G54" s="31" t="n">
        <v>18</v>
      </c>
      <c r="H54" s="31" t="n">
        <v>0.75</v>
      </c>
      <c r="I54" s="31" t="n">
        <v>0.65</v>
      </c>
      <c r="J54" s="31" t="n">
        <v>2.1</v>
      </c>
      <c r="K54" s="31" t="inlineStr">
        <is>
          <t>N</t>
        </is>
      </c>
      <c r="L54" s="31" t="inlineStr">
        <is>
          <t>figures/opt-adam-lr1e-3.png</t>
        </is>
      </c>
    </row>
    <row r="56" ht="15" customHeight="1" s="20">
      <c r="A56" s="22" t="inlineStr">
        <is>
          <t>ln 7 = 1.9459 (loss bước 0 kỳ vọng với 7 lớp). Ngưỡng nhiễu = 2 × độ lệch chuẩn của các seed baseline.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G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6" customWidth="1" style="19" min="1" max="1"/>
    <col width="11" customWidth="1" style="19" min="2" max="2"/>
    <col width="34" customWidth="1" style="19" min="3" max="3"/>
    <col width="8" customWidth="1" style="19" min="4" max="4"/>
    <col width="15" customWidth="1" style="19" min="5" max="5"/>
    <col width="9" customWidth="1" style="19" min="6" max="7"/>
    <col width="7" customWidth="1" style="19" min="8" max="9"/>
    <col width="12" customWidth="1" style="19" min="10" max="10"/>
    <col width="8" customWidth="1" style="19" min="11" max="11"/>
    <col width="9" customWidth="1" style="19" min="12" max="12"/>
    <col width="10" customWidth="1" style="19" min="13" max="13"/>
    <col width="9" customWidth="1" style="19" min="14" max="14"/>
    <col width="6" customWidth="1" style="19" min="15" max="15"/>
    <col width="10" customWidth="1" style="19" min="16" max="17"/>
    <col width="8" customWidth="1" style="19" min="18" max="18"/>
    <col width="10" customWidth="1" style="19" min="19" max="20"/>
    <col width="9" customWidth="1" style="19" min="21" max="22"/>
    <col width="10" customWidth="1" style="19" min="23" max="23"/>
    <col width="9" customWidth="1" style="19" min="24" max="27"/>
    <col width="22" customWidth="1" style="19" min="28" max="28"/>
    <col width="36" customWidth="1" style="19" min="29" max="29"/>
    <col width="10" customWidth="1" style="19" min="30" max="32"/>
    <col width="9" customWidth="1" style="19" min="33" max="33"/>
  </cols>
  <sheetData>
    <row r="1" ht="42" customHeight="1" s="20">
      <c r="A1" s="27" t="inlineStr">
        <is>
          <t>exp_id</t>
        </is>
      </c>
      <c r="B1" s="27" t="inlineStr">
        <is>
          <t>group</t>
        </is>
      </c>
      <c r="C1" s="27" t="inlineStr">
        <is>
          <t>description</t>
        </is>
      </c>
      <c r="D1" s="27" t="inlineStr">
        <is>
          <t>loss</t>
        </is>
      </c>
      <c r="E1" s="27" t="inlineStr">
        <is>
          <t>optimizer</t>
        </is>
      </c>
      <c r="F1" s="27" t="inlineStr">
        <is>
          <t>lr</t>
        </is>
      </c>
      <c r="G1" s="27" t="inlineStr">
        <is>
          <t>weight_decay</t>
        </is>
      </c>
      <c r="H1" s="27" t="inlineStr">
        <is>
          <t>batch</t>
        </is>
      </c>
      <c r="I1" s="27" t="inlineStr">
        <is>
          <t>epochs</t>
        </is>
      </c>
      <c r="J1" s="27" t="inlineStr">
        <is>
          <t>hidden</t>
        </is>
      </c>
      <c r="K1" s="27" t="inlineStr">
        <is>
          <t>dropout</t>
        </is>
      </c>
      <c r="L1" s="27" t="inlineStr">
        <is>
          <t>clip_norm</t>
        </is>
      </c>
      <c r="M1" s="27" t="inlineStr">
        <is>
          <t>precision</t>
        </is>
      </c>
      <c r="N1" s="27" t="inlineStr">
        <is>
          <t>init</t>
        </is>
      </c>
      <c r="O1" s="27" t="inlineStr">
        <is>
          <t>seed</t>
        </is>
      </c>
      <c r="P1" s="27" t="inlineStr">
        <is>
          <t>step0_loss</t>
        </is>
      </c>
      <c r="Q1" s="27" t="inlineStr">
        <is>
          <t>best_val_loss</t>
        </is>
      </c>
      <c r="R1" s="27" t="inlineStr">
        <is>
          <t>best_epoch</t>
        </is>
      </c>
      <c r="S1" s="27" t="inlineStr">
        <is>
          <t>final_train_loss</t>
        </is>
      </c>
      <c r="T1" s="27" t="inlineStr">
        <is>
          <t>final_val_loss</t>
        </is>
      </c>
      <c r="U1" s="27" t="inlineStr">
        <is>
          <t>val_acc</t>
        </is>
      </c>
      <c r="V1" s="27" t="inlineStr">
        <is>
          <t>val_macro_f1</t>
        </is>
      </c>
      <c r="W1" s="27" t="inlineStr">
        <is>
          <t>time_per_epoch_s</t>
        </is>
      </c>
      <c r="X1" s="27" t="inlineStr">
        <is>
          <t>peak_mem_MB</t>
        </is>
      </c>
      <c r="Y1" s="27" t="inlineStr">
        <is>
          <t>diverged</t>
        </is>
      </c>
      <c r="Z1" s="27" t="inlineStr">
        <is>
          <t>eval_acc</t>
        </is>
      </c>
      <c r="AA1" s="27" t="inlineStr">
        <is>
          <t>eval_macro_f1</t>
        </is>
      </c>
      <c r="AB1" s="27" t="inlineStr">
        <is>
          <t>figure_file</t>
        </is>
      </c>
      <c r="AC1" s="27" t="inlineStr">
        <is>
          <t>notes</t>
        </is>
      </c>
      <c r="AD1" s="27" t="inlineStr">
        <is>
          <t>step0_gap_vs_lnC</t>
        </is>
      </c>
      <c r="AE1" s="27" t="inlineStr">
        <is>
          <t>gap_val_minus_train</t>
        </is>
      </c>
      <c r="AF1" s="27" t="inlineStr">
        <is>
          <t>delta_val_f1_vs_base</t>
        </is>
      </c>
      <c r="AG1" s="27" t="inlineStr">
        <is>
          <t>beyond_noise</t>
        </is>
      </c>
    </row>
    <row r="2" ht="15" customHeight="1" s="20">
      <c r="A2" s="32" t="inlineStr">
        <is>
          <t>base-s1</t>
        </is>
      </c>
      <c r="B2" s="32" t="inlineStr">
        <is>
          <t>baseline</t>
        </is>
      </c>
      <c r="C2" s="32" t="inlineStr">
        <is>
          <t>Baseline M-base, seed 1</t>
        </is>
      </c>
      <c r="D2" s="32" t="inlineStr">
        <is>
          <t>CE</t>
        </is>
      </c>
      <c r="E2" s="32" t="inlineStr">
        <is>
          <t>SGD+momentum</t>
        </is>
      </c>
      <c r="F2" s="33" t="n">
        <v>0.3</v>
      </c>
      <c r="G2" s="32" t="n">
        <v>0</v>
      </c>
      <c r="H2" s="32" t="n">
        <v>512</v>
      </c>
      <c r="I2" s="32" t="n">
        <v>20</v>
      </c>
      <c r="J2" s="32" t="inlineStr">
        <is>
          <t>256-128</t>
        </is>
      </c>
      <c r="K2" s="32" t="n">
        <v>0</v>
      </c>
      <c r="L2" s="32" t="inlineStr">
        <is>
          <t>none</t>
        </is>
      </c>
      <c r="M2" s="32" t="inlineStr">
        <is>
          <t>fp32</t>
        </is>
      </c>
      <c r="N2" s="32" t="inlineStr">
        <is>
          <t>he</t>
        </is>
      </c>
      <c r="O2" s="32" t="n">
        <v>1</v>
      </c>
      <c r="P2" s="34" t="n">
        <v>2.269061</v>
      </c>
      <c r="Q2" s="34" t="n">
        <v>0.226118</v>
      </c>
      <c r="R2" s="33" t="n">
        <v>20</v>
      </c>
      <c r="S2" s="34" t="n">
        <v>0.201119</v>
      </c>
      <c r="T2" s="34" t="n">
        <v>0.226118</v>
      </c>
      <c r="U2" s="34" t="n">
        <v>0.909759</v>
      </c>
      <c r="V2" s="34" t="n">
        <v>0.857084</v>
      </c>
      <c r="W2" s="33" t="n">
        <v>0.308</v>
      </c>
      <c r="X2" s="33" t="n">
        <v>131.1</v>
      </c>
      <c r="Y2" s="33" t="inlineStr">
        <is>
          <t>N</t>
        </is>
      </c>
      <c r="Z2" s="34" t="n">
        <v>0.908935</v>
      </c>
      <c r="AA2" s="34" t="n">
        <v>0.85864</v>
      </c>
      <c r="AB2" s="33" t="inlineStr">
        <is>
          <t>figures/base-s1.png</t>
        </is>
      </c>
      <c r="AC2" s="33" t="inlineStr">
        <is>
          <t>trùng cấu hình với opt-sgdm-lr0.3 (seed 1); peak_mem trên MPS: lấy mẫu sau forward, gồm 124 MB dữ liệu</t>
        </is>
      </c>
      <c r="AD2" s="35">
        <f>IF(P2="","",P2-LN(7))</f>
        <v>0.323150850944687</v>
      </c>
      <c r="AE2" s="35">
        <f>IF(OR(T2="",S2=""),"",T2-S2)</f>
        <v>0.02499900000000002</v>
      </c>
      <c r="AF2" s="35">
        <f>IF(OR(V2="",Seeds!$C$8=""),"",V2-Seeds!$C$8)</f>
        <v>-0.002012600000000031</v>
      </c>
      <c r="AG2" s="35" t="str">
        <f>IF(OR(AF2="",Seeds!$C$10=""),"",IF(ABS(AF2)&gt;Seeds!$C$10,"Có","Không"))</f>
        <v>Không</v>
      </c>
    </row>
    <row r="3" ht="15" customHeight="1" s="20">
      <c r="A3" s="33" t="inlineStr">
        <is>
          <t>base-s2</t>
        </is>
      </c>
      <c r="B3" s="33" t="inlineStr">
        <is>
          <t>baseline</t>
        </is>
      </c>
      <c r="C3" s="33" t="inlineStr">
        <is>
          <t>Baseline M-base, seed 2</t>
        </is>
      </c>
      <c r="D3" s="33" t="inlineStr">
        <is>
          <t>CE</t>
        </is>
      </c>
      <c r="E3" s="33" t="inlineStr">
        <is>
          <t>SGD+momentum</t>
        </is>
      </c>
      <c r="F3" s="33" t="n">
        <v>0.3</v>
      </c>
      <c r="G3" s="33" t="n">
        <v>0</v>
      </c>
      <c r="H3" s="33" t="n">
        <v>512</v>
      </c>
      <c r="I3" s="33" t="n">
        <v>20</v>
      </c>
      <c r="J3" s="33" t="inlineStr">
        <is>
          <t>256-128</t>
        </is>
      </c>
      <c r="K3" s="33" t="n">
        <v>0</v>
      </c>
      <c r="L3" s="33" t="inlineStr">
        <is>
          <t>none</t>
        </is>
      </c>
      <c r="M3" s="33" t="inlineStr">
        <is>
          <t>fp32</t>
        </is>
      </c>
      <c r="N3" s="33" t="inlineStr">
        <is>
          <t>he</t>
        </is>
      </c>
      <c r="O3" s="33" t="n">
        <v>2</v>
      </c>
      <c r="P3" s="34" t="n">
        <v>1.978157</v>
      </c>
      <c r="Q3" s="34" t="n">
        <v>0.21069</v>
      </c>
      <c r="R3" s="33" t="n">
        <v>20</v>
      </c>
      <c r="S3" s="34" t="n">
        <v>0.187076</v>
      </c>
      <c r="T3" s="34" t="n">
        <v>0.21069</v>
      </c>
      <c r="U3" s="34" t="n">
        <v>0.915589</v>
      </c>
      <c r="V3" s="34" t="n">
        <v>0.870422</v>
      </c>
      <c r="W3" s="33" t="n">
        <v>0.309</v>
      </c>
      <c r="X3" s="33" t="n">
        <v>131.1</v>
      </c>
      <c r="Y3" s="33" t="inlineStr">
        <is>
          <t>N</t>
        </is>
      </c>
      <c r="Z3" s="34" t="n"/>
      <c r="AA3" s="34" t="n"/>
      <c r="AB3" s="33" t="inlineStr">
        <is>
          <t>figures/base-s2.png</t>
        </is>
      </c>
      <c r="AC3" s="33" t="inlineStr">
        <is>
          <t>peak_mem trên MPS: lấy mẫu sau forward, gồm 124 MB dữ liệu</t>
        </is>
      </c>
      <c r="AD3" s="35">
        <f>IF(P3="","",P3-LN(7))</f>
        <v>0.03224685094468671</v>
      </c>
      <c r="AE3" s="35">
        <f>IF(OR(T3="",S3=""),"",T3-S3)</f>
        <v>0.023613999999999996</v>
      </c>
      <c r="AF3" s="35">
        <f>IF(OR(V3="",Seeds!$C$8=""),"",V3-Seeds!$C$8)</f>
        <v>0.011325400000000041</v>
      </c>
      <c r="AG3" s="35" t="str">
        <f>IF(OR(AF3="",Seeds!$C$10=""),"",IF(ABS(AF3)&gt;Seeds!$C$10,"Có","Không"))</f>
        <v>Không</v>
      </c>
    </row>
    <row r="4" ht="15" customHeight="1" s="20">
      <c r="A4" s="33" t="inlineStr">
        <is>
          <t>base-s3</t>
        </is>
      </c>
      <c r="B4" s="33" t="inlineStr">
        <is>
          <t>baseline</t>
        </is>
      </c>
      <c r="C4" s="33" t="inlineStr">
        <is>
          <t>Baseline M-base, seed 3</t>
        </is>
      </c>
      <c r="D4" s="33" t="inlineStr">
        <is>
          <t>CE</t>
        </is>
      </c>
      <c r="E4" s="33" t="inlineStr">
        <is>
          <t>SGD+momentum</t>
        </is>
      </c>
      <c r="F4" s="33" t="n">
        <v>0.3</v>
      </c>
      <c r="G4" s="33" t="n">
        <v>0</v>
      </c>
      <c r="H4" s="33" t="n">
        <v>512</v>
      </c>
      <c r="I4" s="33" t="n">
        <v>20</v>
      </c>
      <c r="J4" s="33" t="inlineStr">
        <is>
          <t>256-128</t>
        </is>
      </c>
      <c r="K4" s="33" t="n">
        <v>0</v>
      </c>
      <c r="L4" s="33" t="inlineStr">
        <is>
          <t>none</t>
        </is>
      </c>
      <c r="M4" s="33" t="inlineStr">
        <is>
          <t>fp32</t>
        </is>
      </c>
      <c r="N4" s="33" t="inlineStr">
        <is>
          <t>he</t>
        </is>
      </c>
      <c r="O4" s="33" t="n">
        <v>3</v>
      </c>
      <c r="P4" s="34" t="n">
        <v>1.90054</v>
      </c>
      <c r="Q4" s="34" t="n">
        <v>0.218344</v>
      </c>
      <c r="R4" s="33" t="n">
        <v>20</v>
      </c>
      <c r="S4" s="34" t="n">
        <v>0.192888</v>
      </c>
      <c r="T4" s="34" t="n">
        <v>0.218344</v>
      </c>
      <c r="U4" s="34" t="n">
        <v>0.9143520000000001</v>
      </c>
      <c r="V4" s="34" t="n">
        <v>0.867749</v>
      </c>
      <c r="W4" s="33" t="n">
        <v>0.303</v>
      </c>
      <c r="X4" s="33" t="n">
        <v>131.1</v>
      </c>
      <c r="Y4" s="33" t="inlineStr">
        <is>
          <t>N</t>
        </is>
      </c>
      <c r="Z4" s="34" t="n"/>
      <c r="AA4" s="34" t="n"/>
      <c r="AB4" s="33" t="inlineStr">
        <is>
          <t>figures/base-s3.png</t>
        </is>
      </c>
      <c r="AC4" s="33" t="inlineStr">
        <is>
          <t>peak_mem trên MPS: lấy mẫu sau forward, gồm 124 MB dữ liệu</t>
        </is>
      </c>
      <c r="AD4" s="35">
        <f>IF(P4="","",P4-LN(7))</f>
        <v>-0.045370149055313336</v>
      </c>
      <c r="AE4" s="35">
        <f>IF(OR(T4="",S4=""),"",T4-S4)</f>
        <v>0.025456000000000006</v>
      </c>
      <c r="AF4" s="35">
        <f>IF(OR(V4="",Seeds!$C$8=""),"",V4-Seeds!$C$8)</f>
        <v>0.008652400000000005</v>
      </c>
      <c r="AG4" s="35" t="str">
        <f>IF(OR(AF4="",Seeds!$C$10=""),"",IF(ABS(AF4)&gt;Seeds!$C$10,"Có","Không"))</f>
        <v>Không</v>
      </c>
    </row>
    <row r="5" ht="15" customHeight="1" s="20">
      <c r="A5" s="33" t="inlineStr">
        <is>
          <t>base-s4</t>
        </is>
      </c>
      <c r="B5" s="33" t="inlineStr">
        <is>
          <t>baseline</t>
        </is>
      </c>
      <c r="C5" s="33" t="inlineStr">
        <is>
          <t>Baseline M-base, seed 4</t>
        </is>
      </c>
      <c r="D5" s="33" t="inlineStr">
        <is>
          <t>CE</t>
        </is>
      </c>
      <c r="E5" s="33" t="inlineStr">
        <is>
          <t>SGD+momentum</t>
        </is>
      </c>
      <c r="F5" s="33" t="n">
        <v>0.3</v>
      </c>
      <c r="G5" s="33" t="n">
        <v>0</v>
      </c>
      <c r="H5" s="33" t="n">
        <v>512</v>
      </c>
      <c r="I5" s="33" t="n">
        <v>20</v>
      </c>
      <c r="J5" s="33" t="inlineStr">
        <is>
          <t>256-128</t>
        </is>
      </c>
      <c r="K5" s="33" t="n">
        <v>0</v>
      </c>
      <c r="L5" s="33" t="inlineStr">
        <is>
          <t>none</t>
        </is>
      </c>
      <c r="M5" s="33" t="inlineStr">
        <is>
          <t>fp32</t>
        </is>
      </c>
      <c r="N5" s="33" t="inlineStr">
        <is>
          <t>he</t>
        </is>
      </c>
      <c r="O5" s="33" t="n">
        <v>4</v>
      </c>
      <c r="P5" s="34" t="n">
        <v>2.310553</v>
      </c>
      <c r="Q5" s="34" t="n">
        <v>0.222024</v>
      </c>
      <c r="R5" s="33" t="n">
        <v>19</v>
      </c>
      <c r="S5" s="34" t="n">
        <v>0.197121</v>
      </c>
      <c r="T5" s="34" t="n">
        <v>0.222256</v>
      </c>
      <c r="U5" s="34" t="n">
        <v>0.910996</v>
      </c>
      <c r="V5" s="34" t="n">
        <v>0.854699</v>
      </c>
      <c r="W5" s="33" t="n">
        <v>0.308</v>
      </c>
      <c r="X5" s="33" t="n">
        <v>131.1</v>
      </c>
      <c r="Y5" s="33" t="inlineStr">
        <is>
          <t>N</t>
        </is>
      </c>
      <c r="Z5" s="34" t="n"/>
      <c r="AA5" s="34" t="n"/>
      <c r="AB5" s="33" t="inlineStr">
        <is>
          <t>figures/base-s4.png</t>
        </is>
      </c>
      <c r="AC5" s="33" t="inlineStr">
        <is>
          <t>peak_mem trên MPS: lấy mẫu sau forward, gồm 124 MB dữ liệu</t>
        </is>
      </c>
      <c r="AD5" s="35">
        <f>IF(P5="","",P5-LN(7))</f>
        <v>0.36464285094468685</v>
      </c>
      <c r="AE5" s="35">
        <f>IF(OR(T5="",S5=""),"",T5-S5)</f>
        <v>0.02513500000000002</v>
      </c>
      <c r="AF5" s="35">
        <f>IF(OR(V5="",Seeds!$C$8=""),"",V5-Seeds!$C$8)</f>
        <v>-0.0043976000000000015</v>
      </c>
      <c r="AG5" s="35" t="str">
        <f>IF(OR(AF5="",Seeds!$C$10=""),"",IF(ABS(AF5)&gt;Seeds!$C$10,"Có","Không"))</f>
        <v>Không</v>
      </c>
    </row>
    <row r="6" ht="15" customHeight="1" s="20">
      <c r="A6" s="33" t="inlineStr">
        <is>
          <t>base-s5</t>
        </is>
      </c>
      <c r="B6" s="33" t="inlineStr">
        <is>
          <t>baseline</t>
        </is>
      </c>
      <c r="C6" s="33" t="inlineStr">
        <is>
          <t>Baseline M-base, seed 5</t>
        </is>
      </c>
      <c r="D6" s="33" t="inlineStr">
        <is>
          <t>CE</t>
        </is>
      </c>
      <c r="E6" s="33" t="inlineStr">
        <is>
          <t>SGD+momentum</t>
        </is>
      </c>
      <c r="F6" s="33" t="n">
        <v>0.3</v>
      </c>
      <c r="G6" s="33" t="n">
        <v>0</v>
      </c>
      <c r="H6" s="33" t="n">
        <v>512</v>
      </c>
      <c r="I6" s="33" t="n">
        <v>20</v>
      </c>
      <c r="J6" s="33" t="inlineStr">
        <is>
          <t>256-128</t>
        </is>
      </c>
      <c r="K6" s="33" t="n">
        <v>0</v>
      </c>
      <c r="L6" s="33" t="inlineStr">
        <is>
          <t>none</t>
        </is>
      </c>
      <c r="M6" s="33" t="inlineStr">
        <is>
          <t>fp32</t>
        </is>
      </c>
      <c r="N6" s="33" t="inlineStr">
        <is>
          <t>he</t>
        </is>
      </c>
      <c r="O6" s="33" t="n">
        <v>5</v>
      </c>
      <c r="P6" s="34" t="n">
        <v>2.144401</v>
      </c>
      <c r="Q6" s="34" t="n">
        <v>0.226701</v>
      </c>
      <c r="R6" s="33" t="n">
        <v>20</v>
      </c>
      <c r="S6" s="34" t="n">
        <v>0.20225</v>
      </c>
      <c r="T6" s="34" t="n">
        <v>0.226701</v>
      </c>
      <c r="U6" s="34" t="n">
        <v>0.910544</v>
      </c>
      <c r="V6" s="34" t="n">
        <v>0.845529</v>
      </c>
      <c r="W6" s="33" t="n">
        <v>0.311</v>
      </c>
      <c r="X6" s="33" t="n">
        <v>131.1</v>
      </c>
      <c r="Y6" s="33" t="inlineStr">
        <is>
          <t>N</t>
        </is>
      </c>
      <c r="Z6" s="34" t="n"/>
      <c r="AA6" s="34" t="n"/>
      <c r="AB6" s="33" t="inlineStr">
        <is>
          <t>figures/base-s5.png</t>
        </is>
      </c>
      <c r="AC6" s="33" t="inlineStr">
        <is>
          <t>peak_mem trên MPS: lấy mẫu sau forward, gồm 124 MB dữ liệu</t>
        </is>
      </c>
      <c r="AD6" s="35">
        <f>IF(P6="","",P6-LN(7))</f>
        <v>0.19849085094468655</v>
      </c>
      <c r="AE6" s="35">
        <f>IF(OR(T6="",S6=""),"",T6-S6)</f>
        <v>0.024451</v>
      </c>
      <c r="AF6" s="35">
        <f>IF(OR(V6="",Seeds!$C$8=""),"",V6-Seeds!$C$8)</f>
        <v>-0.013567600000000013</v>
      </c>
      <c r="AG6" s="35" t="str">
        <f>IF(OR(AF6="",Seeds!$C$10=""),"",IF(ABS(AF6)&gt;Seeds!$C$10,"Có","Không"))</f>
        <v>Không</v>
      </c>
    </row>
    <row r="7" ht="15" customHeight="1" s="20">
      <c r="A7" s="33" t="inlineStr">
        <is>
          <t>loss-mse</t>
        </is>
      </c>
      <c r="B7" s="33" t="inlineStr">
        <is>
          <t>loss</t>
        </is>
      </c>
      <c r="C7" s="33" t="inlineStr">
        <is>
          <t>MSE trên one-hot (logit), cùng lr baseline</t>
        </is>
      </c>
      <c r="D7" s="33" t="inlineStr">
        <is>
          <t>MSE</t>
        </is>
      </c>
      <c r="E7" s="33" t="inlineStr">
        <is>
          <t>SGD+momentum</t>
        </is>
      </c>
      <c r="F7" s="33" t="n">
        <v>0.3</v>
      </c>
      <c r="G7" s="33" t="n">
        <v>0</v>
      </c>
      <c r="H7" s="33" t="n">
        <v>512</v>
      </c>
      <c r="I7" s="33" t="n">
        <v>20</v>
      </c>
      <c r="J7" s="33" t="inlineStr">
        <is>
          <t>256-128</t>
        </is>
      </c>
      <c r="K7" s="33" t="n">
        <v>0</v>
      </c>
      <c r="L7" s="33" t="inlineStr">
        <is>
          <t>none</t>
        </is>
      </c>
      <c r="M7" s="33" t="inlineStr">
        <is>
          <t>fp32</t>
        </is>
      </c>
      <c r="N7" s="33" t="inlineStr">
        <is>
          <t>he</t>
        </is>
      </c>
      <c r="O7" s="33" t="n">
        <v>1</v>
      </c>
      <c r="P7" s="34" t="n">
        <v>0.63585</v>
      </c>
      <c r="Q7" s="34" t="n">
        <v>0.026856</v>
      </c>
      <c r="R7" s="33" t="n">
        <v>20</v>
      </c>
      <c r="S7" s="34" t="n">
        <v>0.02582</v>
      </c>
      <c r="T7" s="34" t="n">
        <v>0.026856</v>
      </c>
      <c r="U7" s="34" t="n">
        <v>0.88335</v>
      </c>
      <c r="V7" s="34" t="n">
        <v>0.784314</v>
      </c>
      <c r="W7" s="33" t="n">
        <v>0.261</v>
      </c>
      <c r="X7" s="33" t="n">
        <v>131.1</v>
      </c>
      <c r="Y7" s="33" t="inlineStr">
        <is>
          <t>N</t>
        </is>
      </c>
      <c r="Z7" s="34" t="n"/>
      <c r="AA7" s="34" t="n"/>
      <c r="AB7" s="33" t="inlineStr">
        <is>
          <t>figures/loss-mse.png</t>
        </is>
      </c>
      <c r="AC7" s="33" t="inlineStr">
        <is>
          <t>peak_mem trên MPS: lấy mẫu sau forward, gồm 124 MB dữ liệu</t>
        </is>
      </c>
      <c r="AD7" s="35">
        <f>IF(P7="","",P7-LN(7))</f>
        <v>-1.3100601490553132</v>
      </c>
      <c r="AE7" s="35">
        <f>IF(OR(T7="",S7=""),"",T7-S7)</f>
        <v>0.0010360000000000022</v>
      </c>
      <c r="AF7" s="35">
        <f>IF(OR(V7="",Seeds!$C$8=""),"",V7-Seeds!$C$8)</f>
        <v>-0.07478260000000003</v>
      </c>
      <c r="AG7" s="35" t="str">
        <f>IF(OR(AF7="",Seeds!$C$10=""),"",IF(ABS(AF7)&gt;Seeds!$C$10,"Có","Không"))</f>
        <v>Có</v>
      </c>
    </row>
    <row r="8" ht="15" customHeight="1" s="20">
      <c r="A8" s="33" t="inlineStr">
        <is>
          <t>loss-mse-lr0.9</t>
        </is>
      </c>
      <c r="B8" s="33" t="inlineStr">
        <is>
          <t>loss</t>
        </is>
      </c>
      <c r="C8" s="33" t="inlineStr">
        <is>
          <t>MSE trên one-hot, lr ×3 = 0.9</t>
        </is>
      </c>
      <c r="D8" s="33" t="inlineStr">
        <is>
          <t>MSE</t>
        </is>
      </c>
      <c r="E8" s="33" t="inlineStr">
        <is>
          <t>SGD+momentum</t>
        </is>
      </c>
      <c r="F8" s="33" t="n">
        <v>0.8999999999999999</v>
      </c>
      <c r="G8" s="33" t="n">
        <v>0</v>
      </c>
      <c r="H8" s="33" t="n">
        <v>512</v>
      </c>
      <c r="I8" s="33" t="n">
        <v>20</v>
      </c>
      <c r="J8" s="33" t="inlineStr">
        <is>
          <t>256-128</t>
        </is>
      </c>
      <c r="K8" s="33" t="n">
        <v>0</v>
      </c>
      <c r="L8" s="33" t="inlineStr">
        <is>
          <t>none</t>
        </is>
      </c>
      <c r="M8" s="33" t="inlineStr">
        <is>
          <t>fp32</t>
        </is>
      </c>
      <c r="N8" s="33" t="inlineStr">
        <is>
          <t>he</t>
        </is>
      </c>
      <c r="O8" s="33" t="n">
        <v>1</v>
      </c>
      <c r="P8" s="34" t="n">
        <v>0.63585</v>
      </c>
      <c r="Q8" s="34" t="n">
        <v>0.034027</v>
      </c>
      <c r="R8" s="33" t="n">
        <v>20</v>
      </c>
      <c r="S8" s="34" t="n">
        <v>0.033292</v>
      </c>
      <c r="T8" s="34" t="n">
        <v>0.034027</v>
      </c>
      <c r="U8" s="34" t="n">
        <v>0.8511</v>
      </c>
      <c r="V8" s="34" t="n">
        <v>0.687851</v>
      </c>
      <c r="W8" s="33" t="n">
        <v>0.265</v>
      </c>
      <c r="X8" s="33" t="n">
        <v>131.1</v>
      </c>
      <c r="Y8" s="33" t="inlineStr">
        <is>
          <t>N</t>
        </is>
      </c>
      <c r="Z8" s="34" t="n"/>
      <c r="AA8" s="34" t="n"/>
      <c r="AB8" s="33" t="inlineStr">
        <is>
          <t>figures/loss-mse-lr0.9.png</t>
        </is>
      </c>
      <c r="AC8" s="33" t="inlineStr">
        <is>
          <t>đổi 2 yếu tố: loss + lr (bù gradient MSE nhỏ hơn ~3 lần); peak_mem trên MPS: lấy mẫu sau forward, gồm 124 MB dữ liệu</t>
        </is>
      </c>
      <c r="AD8" s="35">
        <f>IF(P8="","",P8-LN(7))</f>
        <v>-1.3100601490553132</v>
      </c>
      <c r="AE8" s="35">
        <f>IF(OR(T8="",S8=""),"",T8-S8)</f>
        <v>0.0007349999999999995</v>
      </c>
      <c r="AF8" s="35">
        <f>IF(OR(V8="",Seeds!$C$8=""),"",V8-Seeds!$C$8)</f>
        <v>-0.1712456</v>
      </c>
      <c r="AG8" s="35" t="str">
        <f>IF(OR(AF8="",Seeds!$C$10=""),"",IF(ABS(AF8)&gt;Seeds!$C$10,"Có","Không"))</f>
        <v>Có</v>
      </c>
    </row>
    <row r="9" ht="15" customHeight="1" s="20">
      <c r="A9" s="33" t="inlineStr">
        <is>
          <t>opt-sgdm-lr0.01</t>
        </is>
      </c>
      <c r="B9" s="33" t="inlineStr">
        <is>
          <t>optimizer</t>
        </is>
      </c>
      <c r="C9" s="33" t="inlineStr">
        <is>
          <t>SGD+momentum 0.9, lr=0.01 (dò lr cho baseline)</t>
        </is>
      </c>
      <c r="D9" s="33" t="inlineStr">
        <is>
          <t>CE</t>
        </is>
      </c>
      <c r="E9" s="33" t="inlineStr">
        <is>
          <t>SGD+momentum</t>
        </is>
      </c>
      <c r="F9" s="33" t="n">
        <v>0.01</v>
      </c>
      <c r="G9" s="33" t="n">
        <v>0</v>
      </c>
      <c r="H9" s="33" t="n">
        <v>512</v>
      </c>
      <c r="I9" s="33" t="n">
        <v>20</v>
      </c>
      <c r="J9" s="33" t="inlineStr">
        <is>
          <t>256-128</t>
        </is>
      </c>
      <c r="K9" s="33" t="n">
        <v>0</v>
      </c>
      <c r="L9" s="33" t="inlineStr">
        <is>
          <t>none</t>
        </is>
      </c>
      <c r="M9" s="33" t="inlineStr">
        <is>
          <t>fp32</t>
        </is>
      </c>
      <c r="N9" s="33" t="inlineStr">
        <is>
          <t>he</t>
        </is>
      </c>
      <c r="O9" s="33" t="n">
        <v>1</v>
      </c>
      <c r="P9" s="34" t="n">
        <v>2.269061</v>
      </c>
      <c r="Q9" s="34" t="n">
        <v>0.316237</v>
      </c>
      <c r="R9" s="33" t="n">
        <v>19</v>
      </c>
      <c r="S9" s="34" t="n">
        <v>0.317303</v>
      </c>
      <c r="T9" s="34" t="n">
        <v>0.327897</v>
      </c>
      <c r="U9" s="34" t="n">
        <v>0.872098</v>
      </c>
      <c r="V9" s="34" t="n">
        <v>0.764414</v>
      </c>
      <c r="W9" s="33" t="n">
        <v>0.308</v>
      </c>
      <c r="X9" s="33" t="n">
        <v>131.8</v>
      </c>
      <c r="Y9" s="33" t="inlineStr">
        <is>
          <t>N</t>
        </is>
      </c>
      <c r="Z9" s="34" t="n"/>
      <c r="AA9" s="34" t="n"/>
      <c r="AB9" s="33" t="inlineStr">
        <is>
          <t>figures/opt-sgdm-lr0.01.png</t>
        </is>
      </c>
      <c r="AC9" s="33" t="inlineStr">
        <is>
          <t>dò lr cho baseline; peak_mem trên MPS: lấy mẫu sau forward, gồm 124 MB dữ liệu</t>
        </is>
      </c>
      <c r="AD9" s="35">
        <f>IF(P9="","",P9-LN(7))</f>
        <v>0.323150850944687</v>
      </c>
      <c r="AE9" s="35">
        <f>IF(OR(T9="",S9=""),"",T9-S9)</f>
        <v>0.010593999999999992</v>
      </c>
      <c r="AF9" s="35">
        <f>IF(OR(V9="",Seeds!$C$8=""),"",V9-Seeds!$C$8)</f>
        <v>-0.09468259999999995</v>
      </c>
      <c r="AG9" s="35" t="str">
        <f>IF(OR(AF9="",Seeds!$C$10=""),"",IF(ABS(AF9)&gt;Seeds!$C$10,"Có","Không"))</f>
        <v>Có</v>
      </c>
    </row>
    <row r="10" ht="15" customHeight="1" s="20">
      <c r="A10" s="33" t="inlineStr">
        <is>
          <t>opt-sgdm-lr0.03</t>
        </is>
      </c>
      <c r="B10" s="33" t="inlineStr">
        <is>
          <t>optimizer</t>
        </is>
      </c>
      <c r="C10" s="33" t="inlineStr">
        <is>
          <t>SGD+momentum 0.9, lr=0.03 (dò lr cho baseline)</t>
        </is>
      </c>
      <c r="D10" s="33" t="inlineStr">
        <is>
          <t>CE</t>
        </is>
      </c>
      <c r="E10" s="33" t="inlineStr">
        <is>
          <t>SGD+momentum</t>
        </is>
      </c>
      <c r="F10" s="33" t="n">
        <v>0.03</v>
      </c>
      <c r="G10" s="33" t="n">
        <v>0</v>
      </c>
      <c r="H10" s="33" t="n">
        <v>512</v>
      </c>
      <c r="I10" s="33" t="n">
        <v>20</v>
      </c>
      <c r="J10" s="33" t="inlineStr">
        <is>
          <t>256-128</t>
        </is>
      </c>
      <c r="K10" s="33" t="n">
        <v>0</v>
      </c>
      <c r="L10" s="33" t="inlineStr">
        <is>
          <t>none</t>
        </is>
      </c>
      <c r="M10" s="33" t="inlineStr">
        <is>
          <t>fp32</t>
        </is>
      </c>
      <c r="N10" s="33" t="inlineStr">
        <is>
          <t>he</t>
        </is>
      </c>
      <c r="O10" s="33" t="n">
        <v>1</v>
      </c>
      <c r="P10" s="34" t="n">
        <v>2.269061</v>
      </c>
      <c r="Q10" s="34" t="n">
        <v>0.257257</v>
      </c>
      <c r="R10" s="33" t="n">
        <v>20</v>
      </c>
      <c r="S10" s="34" t="n">
        <v>0.240644</v>
      </c>
      <c r="T10" s="34" t="n">
        <v>0.257257</v>
      </c>
      <c r="U10" s="34" t="n">
        <v>0.896108</v>
      </c>
      <c r="V10" s="34" t="n">
        <v>0.8280149999999999</v>
      </c>
      <c r="W10" s="33" t="n">
        <v>0.311</v>
      </c>
      <c r="X10" s="33" t="n">
        <v>131.1</v>
      </c>
      <c r="Y10" s="33" t="inlineStr">
        <is>
          <t>N</t>
        </is>
      </c>
      <c r="Z10" s="34" t="n"/>
      <c r="AA10" s="34" t="n"/>
      <c r="AB10" s="33" t="inlineStr">
        <is>
          <t>figures/opt-sgdm-lr0.03.png</t>
        </is>
      </c>
      <c r="AC10" s="33" t="inlineStr">
        <is>
          <t>dò lr cho baseline; peak_mem trên MPS: lấy mẫu sau forward, gồm 124 MB dữ liệu</t>
        </is>
      </c>
      <c r="AD10" s="35">
        <f>IF(P10="","",P10-LN(7))</f>
        <v>0.323150850944687</v>
      </c>
      <c r="AE10" s="35">
        <f>IF(OR(T10="",S10=""),"",T10-S10)</f>
        <v>0.016613000000000017</v>
      </c>
      <c r="AF10" s="35">
        <f>IF(OR(V10="",Seeds!$C$8=""),"",V10-Seeds!$C$8)</f>
        <v>-0.031081600000000043</v>
      </c>
      <c r="AG10" s="35" t="str">
        <f>IF(OR(AF10="",Seeds!$C$10=""),"",IF(ABS(AF10)&gt;Seeds!$C$10,"Có","Không"))</f>
        <v>Có</v>
      </c>
    </row>
    <row r="11" ht="15" customHeight="1" s="20">
      <c r="A11" s="33" t="inlineStr">
        <is>
          <t>opt-sgdm-lr0.1</t>
        </is>
      </c>
      <c r="B11" s="33" t="inlineStr">
        <is>
          <t>optimizer</t>
        </is>
      </c>
      <c r="C11" s="33" t="inlineStr">
        <is>
          <t>SGD+momentum 0.9, lr=0.1 (dò lr cho baseline)</t>
        </is>
      </c>
      <c r="D11" s="33" t="inlineStr">
        <is>
          <t>CE</t>
        </is>
      </c>
      <c r="E11" s="33" t="inlineStr">
        <is>
          <t>SGD+momentum</t>
        </is>
      </c>
      <c r="F11" s="33" t="n">
        <v>0.1</v>
      </c>
      <c r="G11" s="33" t="n">
        <v>0</v>
      </c>
      <c r="H11" s="33" t="n">
        <v>512</v>
      </c>
      <c r="I11" s="33" t="n">
        <v>20</v>
      </c>
      <c r="J11" s="33" t="inlineStr">
        <is>
          <t>256-128</t>
        </is>
      </c>
      <c r="K11" s="33" t="n">
        <v>0</v>
      </c>
      <c r="L11" s="33" t="inlineStr">
        <is>
          <t>none</t>
        </is>
      </c>
      <c r="M11" s="33" t="inlineStr">
        <is>
          <t>fp32</t>
        </is>
      </c>
      <c r="N11" s="33" t="inlineStr">
        <is>
          <t>he</t>
        </is>
      </c>
      <c r="O11" s="33" t="n">
        <v>1</v>
      </c>
      <c r="P11" s="34" t="n">
        <v>2.269061</v>
      </c>
      <c r="Q11" s="34" t="n">
        <v>0.233241</v>
      </c>
      <c r="R11" s="33" t="n">
        <v>20</v>
      </c>
      <c r="S11" s="34" t="n">
        <v>0.209817</v>
      </c>
      <c r="T11" s="34" t="n">
        <v>0.233241</v>
      </c>
      <c r="U11" s="34" t="n">
        <v>0.908694</v>
      </c>
      <c r="V11" s="34" t="n">
        <v>0.850437</v>
      </c>
      <c r="W11" s="33" t="n">
        <v>0.306</v>
      </c>
      <c r="X11" s="33" t="n">
        <v>131.1</v>
      </c>
      <c r="Y11" s="33" t="inlineStr">
        <is>
          <t>N</t>
        </is>
      </c>
      <c r="Z11" s="34" t="n"/>
      <c r="AA11" s="34" t="n"/>
      <c r="AB11" s="33" t="inlineStr">
        <is>
          <t>figures/opt-sgdm-lr0.1.png</t>
        </is>
      </c>
      <c r="AC11" s="33" t="inlineStr">
        <is>
          <t>dò lr cho baseline; peak_mem trên MPS: lấy mẫu sau forward, gồm 124 MB dữ liệu</t>
        </is>
      </c>
      <c r="AD11" s="35">
        <f>IF(P11="","",P11-LN(7))</f>
        <v>0.323150850944687</v>
      </c>
      <c r="AE11" s="35">
        <f>IF(OR(T11="",S11=""),"",T11-S11)</f>
        <v>0.023424</v>
      </c>
      <c r="AF11" s="35">
        <f>IF(OR(V11="",Seeds!$C$8=""),"",V11-Seeds!$C$8)</f>
        <v>-0.00865959999999999</v>
      </c>
      <c r="AG11" s="35" t="str">
        <f>IF(OR(AF11="",Seeds!$C$10=""),"",IF(ABS(AF11)&gt;Seeds!$C$10,"Có","Không"))</f>
        <v>Không</v>
      </c>
    </row>
    <row r="12" ht="15" customHeight="1" s="20">
      <c r="A12" s="33" t="inlineStr">
        <is>
          <t>opt-sgdm-lr0.3</t>
        </is>
      </c>
      <c r="B12" s="33" t="inlineStr">
        <is>
          <t>optimizer</t>
        </is>
      </c>
      <c r="C12" s="33" t="inlineStr">
        <is>
          <t>SGD+momentum 0.9, lr=0.3 (dò lr cho baseline)</t>
        </is>
      </c>
      <c r="D12" s="33" t="inlineStr">
        <is>
          <t>CE</t>
        </is>
      </c>
      <c r="E12" s="33" t="inlineStr">
        <is>
          <t>SGD+momentum</t>
        </is>
      </c>
      <c r="F12" s="33" t="n">
        <v>0.3</v>
      </c>
      <c r="G12" s="33" t="n">
        <v>0</v>
      </c>
      <c r="H12" s="33" t="n">
        <v>512</v>
      </c>
      <c r="I12" s="33" t="n">
        <v>20</v>
      </c>
      <c r="J12" s="33" t="inlineStr">
        <is>
          <t>256-128</t>
        </is>
      </c>
      <c r="K12" s="33" t="n">
        <v>0</v>
      </c>
      <c r="L12" s="33" t="inlineStr">
        <is>
          <t>none</t>
        </is>
      </c>
      <c r="M12" s="33" t="inlineStr">
        <is>
          <t>fp32</t>
        </is>
      </c>
      <c r="N12" s="33" t="inlineStr">
        <is>
          <t>he</t>
        </is>
      </c>
      <c r="O12" s="33" t="n">
        <v>1</v>
      </c>
      <c r="P12" s="34" t="n">
        <v>2.269061</v>
      </c>
      <c r="Q12" s="34" t="n">
        <v>0.226118</v>
      </c>
      <c r="R12" s="33" t="n">
        <v>20</v>
      </c>
      <c r="S12" s="34" t="n">
        <v>0.201119</v>
      </c>
      <c r="T12" s="34" t="n">
        <v>0.226118</v>
      </c>
      <c r="U12" s="34" t="n">
        <v>0.909759</v>
      </c>
      <c r="V12" s="34" t="n">
        <v>0.857084</v>
      </c>
      <c r="W12" s="33" t="n">
        <v>0.309</v>
      </c>
      <c r="X12" s="33" t="n">
        <v>131.1</v>
      </c>
      <c r="Y12" s="33" t="inlineStr">
        <is>
          <t>N</t>
        </is>
      </c>
      <c r="Z12" s="34" t="n"/>
      <c r="AA12" s="34" t="n"/>
      <c r="AB12" s="33" t="inlineStr">
        <is>
          <t>figures/opt-sgdm-lr0.3.png</t>
        </is>
      </c>
      <c r="AC12" s="33" t="inlineStr">
        <is>
          <t>dò lr cho baseline; peak_mem trên MPS: lấy mẫu sau forward, gồm 124 MB dữ liệu</t>
        </is>
      </c>
      <c r="AD12" s="35">
        <f>IF(P12="","",P12-LN(7))</f>
        <v>0.323150850944687</v>
      </c>
      <c r="AE12" s="35">
        <f>IF(OR(T12="",S12=""),"",T12-S12)</f>
        <v>0.02499900000000002</v>
      </c>
      <c r="AF12" s="35">
        <f>IF(OR(V12="",Seeds!$C$8=""),"",V12-Seeds!$C$8)</f>
        <v>-0.002012600000000031</v>
      </c>
      <c r="AG12" s="35" t="str">
        <f>IF(OR(AF12="",Seeds!$C$10=""),"",IF(ABS(AF12)&gt;Seeds!$C$10,"Có","Không"))</f>
        <v>Không</v>
      </c>
    </row>
    <row r="13" ht="15" customHeight="1" s="20">
      <c r="A13" s="33" t="inlineStr">
        <is>
          <t>opt-sgdm-lr1</t>
        </is>
      </c>
      <c r="B13" s="33" t="inlineStr">
        <is>
          <t>optimizer</t>
        </is>
      </c>
      <c r="C13" s="33" t="inlineStr">
        <is>
          <t>SGD+momentum 0.9, lr=1 (dò lr cho baseline)</t>
        </is>
      </c>
      <c r="D13" s="33" t="inlineStr">
        <is>
          <t>CE</t>
        </is>
      </c>
      <c r="E13" s="33" t="inlineStr">
        <is>
          <t>SGD+momentum</t>
        </is>
      </c>
      <c r="F13" s="33" t="n">
        <v>1</v>
      </c>
      <c r="G13" s="33" t="n">
        <v>0</v>
      </c>
      <c r="H13" s="33" t="n">
        <v>512</v>
      </c>
      <c r="I13" s="33" t="n">
        <v>20</v>
      </c>
      <c r="J13" s="33" t="inlineStr">
        <is>
          <t>256-128</t>
        </is>
      </c>
      <c r="K13" s="33" t="n">
        <v>0</v>
      </c>
      <c r="L13" s="33" t="inlineStr">
        <is>
          <t>none</t>
        </is>
      </c>
      <c r="M13" s="33" t="inlineStr">
        <is>
          <t>fp32</t>
        </is>
      </c>
      <c r="N13" s="33" t="inlineStr">
        <is>
          <t>he</t>
        </is>
      </c>
      <c r="O13" s="33" t="n">
        <v>1</v>
      </c>
      <c r="P13" s="34" t="n">
        <v>2.269061</v>
      </c>
      <c r="Q13" s="34" t="n">
        <v>0.354128</v>
      </c>
      <c r="R13" s="33" t="n">
        <v>20</v>
      </c>
      <c r="S13" s="34" t="n">
        <v>0.340742</v>
      </c>
      <c r="T13" s="34" t="n">
        <v>0.354128</v>
      </c>
      <c r="U13" s="34" t="n">
        <v>0.861169</v>
      </c>
      <c r="V13" s="34" t="n">
        <v>0.773116</v>
      </c>
      <c r="W13" s="33" t="n">
        <v>0.307</v>
      </c>
      <c r="X13" s="33" t="n">
        <v>131.1</v>
      </c>
      <c r="Y13" s="33" t="inlineStr">
        <is>
          <t>N</t>
        </is>
      </c>
      <c r="Z13" s="34" t="n"/>
      <c r="AA13" s="34" t="n"/>
      <c r="AB13" s="33" t="inlineStr">
        <is>
          <t>figures/opt-sgdm-lr1.png</t>
        </is>
      </c>
      <c r="AC13" s="33" t="inlineStr">
        <is>
          <t>dò lr cho baseline; peak_mem trên MPS: lấy mẫu sau forward, gồm 124 MB dữ liệu</t>
        </is>
      </c>
      <c r="AD13" s="35">
        <f>IF(P13="","",P13-LN(7))</f>
        <v>0.323150850944687</v>
      </c>
      <c r="AE13" s="35">
        <f>IF(OR(T13="",S13=""),"",T13-S13)</f>
        <v>0.013386000000000009</v>
      </c>
      <c r="AF13" s="35">
        <f>IF(OR(V13="",Seeds!$C$8=""),"",V13-Seeds!$C$8)</f>
        <v>-0.08598059999999996</v>
      </c>
      <c r="AG13" s="35" t="str">
        <f>IF(OR(AF13="",Seeds!$C$10=""),"",IF(ABS(AF13)&gt;Seeds!$C$10,"Có","Không"))</f>
        <v>Có</v>
      </c>
    </row>
    <row r="14" ht="15" customHeight="1" s="20">
      <c r="A14" s="33" t="inlineStr">
        <is>
          <t>opt-sgd-lr0.1</t>
        </is>
      </c>
      <c r="B14" s="33" t="inlineStr">
        <is>
          <t>optimizer</t>
        </is>
      </c>
      <c r="C14" s="33" t="inlineStr">
        <is>
          <t>SGD, lr=0.1</t>
        </is>
      </c>
      <c r="D14" s="33" t="inlineStr">
        <is>
          <t>CE</t>
        </is>
      </c>
      <c r="E14" s="33" t="inlineStr">
        <is>
          <t>SGD</t>
        </is>
      </c>
      <c r="F14" s="33" t="n">
        <v>0.1</v>
      </c>
      <c r="G14" s="33" t="n">
        <v>0</v>
      </c>
      <c r="H14" s="33" t="n">
        <v>512</v>
      </c>
      <c r="I14" s="33" t="n">
        <v>20</v>
      </c>
      <c r="J14" s="33" t="inlineStr">
        <is>
          <t>256-128</t>
        </is>
      </c>
      <c r="K14" s="33" t="n">
        <v>0</v>
      </c>
      <c r="L14" s="33" t="inlineStr">
        <is>
          <t>none</t>
        </is>
      </c>
      <c r="M14" s="33" t="inlineStr">
        <is>
          <t>fp32</t>
        </is>
      </c>
      <c r="N14" s="33" t="inlineStr">
        <is>
          <t>he</t>
        </is>
      </c>
      <c r="O14" s="33" t="n">
        <v>1</v>
      </c>
      <c r="P14" s="34" t="n">
        <v>2.269061</v>
      </c>
      <c r="Q14" s="34" t="n">
        <v>0.342804</v>
      </c>
      <c r="R14" s="33" t="n">
        <v>18</v>
      </c>
      <c r="S14" s="34" t="n">
        <v>0.403883</v>
      </c>
      <c r="T14" s="34" t="n">
        <v>0.413467</v>
      </c>
      <c r="U14" s="34" t="n">
        <v>0.8581569999999999</v>
      </c>
      <c r="V14" s="34" t="n">
        <v>0.742543</v>
      </c>
      <c r="W14" s="33" t="n">
        <v>0.296</v>
      </c>
      <c r="X14" s="33" t="n">
        <v>130.9</v>
      </c>
      <c r="Y14" s="33" t="inlineStr">
        <is>
          <t>N</t>
        </is>
      </c>
      <c r="Z14" s="34" t="n"/>
      <c r="AA14" s="34" t="n"/>
      <c r="AB14" s="33" t="inlineStr">
        <is>
          <t>figures/opt-sgd-lr0.1.png</t>
        </is>
      </c>
      <c r="AC14" s="33" t="inlineStr">
        <is>
          <t>peak_mem trên MPS: lấy mẫu sau forward, gồm 124 MB dữ liệu</t>
        </is>
      </c>
      <c r="AD14" s="35">
        <f>IF(P14="","",P14-LN(7))</f>
        <v>0.323150850944687</v>
      </c>
      <c r="AE14" s="35">
        <f>IF(OR(T14="",S14=""),"",T14-S14)</f>
        <v>0.009583999999999981</v>
      </c>
      <c r="AF14" s="35">
        <f>IF(OR(V14="",Seeds!$C$8=""),"",V14-Seeds!$C$8)</f>
        <v>-0.11655360000000003</v>
      </c>
      <c r="AG14" s="35" t="str">
        <f>IF(OR(AF14="",Seeds!$C$10=""),"",IF(ABS(AF14)&gt;Seeds!$C$10,"Có","Không"))</f>
        <v>Có</v>
      </c>
    </row>
    <row r="15" ht="15" customHeight="1" s="20">
      <c r="A15" s="33" t="inlineStr">
        <is>
          <t>opt-sgd-lr0.3</t>
        </is>
      </c>
      <c r="B15" s="33" t="inlineStr">
        <is>
          <t>optimizer</t>
        </is>
      </c>
      <c r="C15" s="33" t="inlineStr">
        <is>
          <t>SGD, lr=0.3</t>
        </is>
      </c>
      <c r="D15" s="33" t="inlineStr">
        <is>
          <t>CE</t>
        </is>
      </c>
      <c r="E15" s="33" t="inlineStr">
        <is>
          <t>SGD</t>
        </is>
      </c>
      <c r="F15" s="33" t="n">
        <v>0.3</v>
      </c>
      <c r="G15" s="33" t="n">
        <v>0</v>
      </c>
      <c r="H15" s="33" t="n">
        <v>512</v>
      </c>
      <c r="I15" s="33" t="n">
        <v>20</v>
      </c>
      <c r="J15" s="33" t="inlineStr">
        <is>
          <t>256-128</t>
        </is>
      </c>
      <c r="K15" s="33" t="n">
        <v>0</v>
      </c>
      <c r="L15" s="33" t="inlineStr">
        <is>
          <t>none</t>
        </is>
      </c>
      <c r="M15" s="33" t="inlineStr">
        <is>
          <t>fp32</t>
        </is>
      </c>
      <c r="N15" s="33" t="inlineStr">
        <is>
          <t>he</t>
        </is>
      </c>
      <c r="O15" s="33" t="n">
        <v>1</v>
      </c>
      <c r="P15" s="34" t="n">
        <v>2.269061</v>
      </c>
      <c r="Q15" s="34" t="n">
        <v>0.288099</v>
      </c>
      <c r="R15" s="33" t="n">
        <v>16</v>
      </c>
      <c r="S15" s="34" t="n">
        <v>0.380521</v>
      </c>
      <c r="T15" s="34" t="n">
        <v>0.395761</v>
      </c>
      <c r="U15" s="34" t="n">
        <v>0.881876</v>
      </c>
      <c r="V15" s="34" t="n">
        <v>0.803492</v>
      </c>
      <c r="W15" s="33" t="n">
        <v>0.293</v>
      </c>
      <c r="X15" s="33" t="n">
        <v>130.9</v>
      </c>
      <c r="Y15" s="33" t="inlineStr">
        <is>
          <t>N</t>
        </is>
      </c>
      <c r="Z15" s="34" t="n"/>
      <c r="AA15" s="34" t="n"/>
      <c r="AB15" s="33" t="inlineStr">
        <is>
          <t>figures/opt-sgd-lr0.3.png</t>
        </is>
      </c>
      <c r="AC15" s="33" t="inlineStr">
        <is>
          <t>peak_mem trên MPS: lấy mẫu sau forward, gồm 124 MB dữ liệu</t>
        </is>
      </c>
      <c r="AD15" s="35">
        <f>IF(P15="","",P15-LN(7))</f>
        <v>0.323150850944687</v>
      </c>
      <c r="AE15" s="35">
        <f>IF(OR(T15="",S15=""),"",T15-S15)</f>
        <v>0.015239999999999976</v>
      </c>
      <c r="AF15" s="35">
        <f>IF(OR(V15="",Seeds!$C$8=""),"",V15-Seeds!$C$8)</f>
        <v>-0.055604600000000004</v>
      </c>
      <c r="AG15" s="35" t="str">
        <f>IF(OR(AF15="",Seeds!$C$10=""),"",IF(ABS(AF15)&gt;Seeds!$C$10,"Có","Không"))</f>
        <v>Có</v>
      </c>
    </row>
    <row r="16" ht="15" customHeight="1" s="20">
      <c r="A16" s="33" t="inlineStr">
        <is>
          <t>opt-sgd-lr1</t>
        </is>
      </c>
      <c r="B16" s="33" t="inlineStr">
        <is>
          <t>optimizer</t>
        </is>
      </c>
      <c r="C16" s="33" t="inlineStr">
        <is>
          <t>SGD, lr=1</t>
        </is>
      </c>
      <c r="D16" s="33" t="inlineStr">
        <is>
          <t>CE</t>
        </is>
      </c>
      <c r="E16" s="33" t="inlineStr">
        <is>
          <t>SGD</t>
        </is>
      </c>
      <c r="F16" s="33" t="n">
        <v>1</v>
      </c>
      <c r="G16" s="33" t="n">
        <v>0</v>
      </c>
      <c r="H16" s="33" t="n">
        <v>512</v>
      </c>
      <c r="I16" s="33" t="n">
        <v>20</v>
      </c>
      <c r="J16" s="33" t="inlineStr">
        <is>
          <t>256-128</t>
        </is>
      </c>
      <c r="K16" s="33" t="n">
        <v>0</v>
      </c>
      <c r="L16" s="33" t="inlineStr">
        <is>
          <t>none</t>
        </is>
      </c>
      <c r="M16" s="33" t="inlineStr">
        <is>
          <t>fp32</t>
        </is>
      </c>
      <c r="N16" s="33" t="inlineStr">
        <is>
          <t>he</t>
        </is>
      </c>
      <c r="O16" s="33" t="n">
        <v>1</v>
      </c>
      <c r="P16" s="34" t="n">
        <v>2.269061</v>
      </c>
      <c r="Q16" s="34" t="n">
        <v>0.254837</v>
      </c>
      <c r="R16" s="33" t="n">
        <v>15</v>
      </c>
      <c r="S16" s="34" t="n">
        <v>0.269583</v>
      </c>
      <c r="T16" s="34" t="n">
        <v>0.291555</v>
      </c>
      <c r="U16" s="34" t="n">
        <v>0.8985069999999999</v>
      </c>
      <c r="V16" s="34" t="n">
        <v>0.823193</v>
      </c>
      <c r="W16" s="33" t="n">
        <v>0.296</v>
      </c>
      <c r="X16" s="33" t="n">
        <v>130.9</v>
      </c>
      <c r="Y16" s="33" t="inlineStr">
        <is>
          <t>N</t>
        </is>
      </c>
      <c r="Z16" s="34" t="n"/>
      <c r="AA16" s="34" t="n"/>
      <c r="AB16" s="33" t="inlineStr">
        <is>
          <t>figures/opt-sgd-lr1.png</t>
        </is>
      </c>
      <c r="AC16" s="33" t="inlineStr">
        <is>
          <t>peak_mem trên MPS: lấy mẫu sau forward, gồm 124 MB dữ liệu</t>
        </is>
      </c>
      <c r="AD16" s="35">
        <f>IF(P16="","",P16-LN(7))</f>
        <v>0.323150850944687</v>
      </c>
      <c r="AE16" s="35">
        <f>IF(OR(T16="",S16=""),"",T16-S16)</f>
        <v>0.02197199999999999</v>
      </c>
      <c r="AF16" s="35">
        <f>IF(OR(V16="",Seeds!$C$8=""),"",V16-Seeds!$C$8)</f>
        <v>-0.035903600000000035</v>
      </c>
      <c r="AG16" s="35" t="str">
        <f>IF(OR(AF16="",Seeds!$C$10=""),"",IF(ABS(AF16)&gt;Seeds!$C$10,"Có","Không"))</f>
        <v>Có</v>
      </c>
    </row>
    <row r="17" ht="15" customHeight="1" s="20">
      <c r="A17" s="33" t="inlineStr">
        <is>
          <t>opt-adam-lr0.0003</t>
        </is>
      </c>
      <c r="B17" s="33" t="inlineStr">
        <is>
          <t>optimizer</t>
        </is>
      </c>
      <c r="C17" s="33" t="inlineStr">
        <is>
          <t>Adam, lr=0.0003</t>
        </is>
      </c>
      <c r="D17" s="33" t="inlineStr">
        <is>
          <t>CE</t>
        </is>
      </c>
      <c r="E17" s="33" t="inlineStr">
        <is>
          <t>Adam</t>
        </is>
      </c>
      <c r="F17" s="33" t="n">
        <v>0.0003</v>
      </c>
      <c r="G17" s="33" t="n">
        <v>0</v>
      </c>
      <c r="H17" s="33" t="n">
        <v>512</v>
      </c>
      <c r="I17" s="33" t="n">
        <v>20</v>
      </c>
      <c r="J17" s="33" t="inlineStr">
        <is>
          <t>256-128</t>
        </is>
      </c>
      <c r="K17" s="33" t="n">
        <v>0</v>
      </c>
      <c r="L17" s="33" t="inlineStr">
        <is>
          <t>none</t>
        </is>
      </c>
      <c r="M17" s="33" t="inlineStr">
        <is>
          <t>fp32</t>
        </is>
      </c>
      <c r="N17" s="33" t="inlineStr">
        <is>
          <t>he</t>
        </is>
      </c>
      <c r="O17" s="33" t="n">
        <v>1</v>
      </c>
      <c r="P17" s="34" t="n">
        <v>2.269061</v>
      </c>
      <c r="Q17" s="34" t="n">
        <v>0.308554</v>
      </c>
      <c r="R17" s="33" t="n">
        <v>20</v>
      </c>
      <c r="S17" s="34" t="n">
        <v>0.296904</v>
      </c>
      <c r="T17" s="34" t="n">
        <v>0.308554</v>
      </c>
      <c r="U17" s="34" t="n">
        <v>0.876498</v>
      </c>
      <c r="V17" s="34" t="n">
        <v>0.796011</v>
      </c>
      <c r="W17" s="33" t="n">
        <v>0.491</v>
      </c>
      <c r="X17" s="33" t="n">
        <v>131.3</v>
      </c>
      <c r="Y17" s="33" t="inlineStr">
        <is>
          <t>N</t>
        </is>
      </c>
      <c r="Z17" s="34" t="n"/>
      <c r="AA17" s="34" t="n"/>
      <c r="AB17" s="33" t="inlineStr">
        <is>
          <t>figures/opt-adam-lr0.0003.png</t>
        </is>
      </c>
      <c r="AC17" s="33" t="inlineStr">
        <is>
          <t>peak_mem trên MPS: lấy mẫu sau forward, gồm 124 MB dữ liệu</t>
        </is>
      </c>
      <c r="AD17" s="35">
        <f>IF(P17="","",P17-LN(7))</f>
        <v>0.323150850944687</v>
      </c>
      <c r="AE17" s="35">
        <f>IF(OR(T17="",S17=""),"",T17-S17)</f>
        <v>0.011649999999999994</v>
      </c>
      <c r="AF17" s="35">
        <f>IF(OR(V17="",Seeds!$C$8=""),"",V17-Seeds!$C$8)</f>
        <v>-0.06308559999999996</v>
      </c>
      <c r="AG17" s="35" t="str">
        <f>IF(OR(AF17="",Seeds!$C$10=""),"",IF(ABS(AF17)&gt;Seeds!$C$10,"Có","Không"))</f>
        <v>Có</v>
      </c>
    </row>
    <row r="18" ht="15" customHeight="1" s="20">
      <c r="A18" s="33" t="inlineStr">
        <is>
          <t>opt-adam-lr0.001</t>
        </is>
      </c>
      <c r="B18" s="33" t="inlineStr">
        <is>
          <t>optimizer</t>
        </is>
      </c>
      <c r="C18" s="33" t="inlineStr">
        <is>
          <t>Adam, lr=0.001</t>
        </is>
      </c>
      <c r="D18" s="33" t="inlineStr">
        <is>
          <t>CE</t>
        </is>
      </c>
      <c r="E18" s="33" t="inlineStr">
        <is>
          <t>Adam</t>
        </is>
      </c>
      <c r="F18" s="33" t="n">
        <v>0.001</v>
      </c>
      <c r="G18" s="33" t="n">
        <v>0</v>
      </c>
      <c r="H18" s="33" t="n">
        <v>512</v>
      </c>
      <c r="I18" s="33" t="n">
        <v>20</v>
      </c>
      <c r="J18" s="33" t="inlineStr">
        <is>
          <t>256-128</t>
        </is>
      </c>
      <c r="K18" s="33" t="n">
        <v>0</v>
      </c>
      <c r="L18" s="33" t="inlineStr">
        <is>
          <t>none</t>
        </is>
      </c>
      <c r="M18" s="33" t="inlineStr">
        <is>
          <t>fp32</t>
        </is>
      </c>
      <c r="N18" s="33" t="inlineStr">
        <is>
          <t>he</t>
        </is>
      </c>
      <c r="O18" s="33" t="n">
        <v>1</v>
      </c>
      <c r="P18" s="34" t="n">
        <v>2.269061</v>
      </c>
      <c r="Q18" s="34" t="n">
        <v>0.24374</v>
      </c>
      <c r="R18" s="33" t="n">
        <v>18</v>
      </c>
      <c r="S18" s="34" t="n">
        <v>0.227818</v>
      </c>
      <c r="T18" s="34" t="n">
        <v>0.247664</v>
      </c>
      <c r="U18" s="34" t="n">
        <v>0.9021749999999999</v>
      </c>
      <c r="V18" s="34" t="n">
        <v>0.843232</v>
      </c>
      <c r="W18" s="33" t="n">
        <v>0.482</v>
      </c>
      <c r="X18" s="33" t="n">
        <v>131.3</v>
      </c>
      <c r="Y18" s="33" t="inlineStr">
        <is>
          <t>N</t>
        </is>
      </c>
      <c r="Z18" s="34" t="n"/>
      <c r="AA18" s="34" t="n"/>
      <c r="AB18" s="33" t="inlineStr">
        <is>
          <t>figures/opt-adam-lr0.001.png</t>
        </is>
      </c>
      <c r="AC18" s="33" t="inlineStr">
        <is>
          <t>peak_mem trên MPS: lấy mẫu sau forward, gồm 124 MB dữ liệu</t>
        </is>
      </c>
      <c r="AD18" s="35">
        <f>IF(P18="","",P18-LN(7))</f>
        <v>0.323150850944687</v>
      </c>
      <c r="AE18" s="35">
        <f>IF(OR(T18="",S18=""),"",T18-S18)</f>
        <v>0.019846000000000003</v>
      </c>
      <c r="AF18" s="35">
        <f>IF(OR(V18="",Seeds!$C$8=""),"",V18-Seeds!$C$8)</f>
        <v>-0.015864600000000006</v>
      </c>
      <c r="AG18" s="35" t="str">
        <f>IF(OR(AF18="",Seeds!$C$10=""),"",IF(ABS(AF18)&gt;Seeds!$C$10,"Có","Không"))</f>
        <v>Không</v>
      </c>
    </row>
    <row r="19" ht="15" customHeight="1" s="20">
      <c r="A19" s="33" t="inlineStr">
        <is>
          <t>opt-adam-lr0.003</t>
        </is>
      </c>
      <c r="B19" s="33" t="inlineStr">
        <is>
          <t>optimizer</t>
        </is>
      </c>
      <c r="C19" s="33" t="inlineStr">
        <is>
          <t>Adam, lr=0.003</t>
        </is>
      </c>
      <c r="D19" s="33" t="inlineStr">
        <is>
          <t>CE</t>
        </is>
      </c>
      <c r="E19" s="33" t="inlineStr">
        <is>
          <t>Adam</t>
        </is>
      </c>
      <c r="F19" s="33" t="n">
        <v>0.003</v>
      </c>
      <c r="G19" s="33" t="n">
        <v>0</v>
      </c>
      <c r="H19" s="33" t="n">
        <v>512</v>
      </c>
      <c r="I19" s="33" t="n">
        <v>20</v>
      </c>
      <c r="J19" s="33" t="inlineStr">
        <is>
          <t>256-128</t>
        </is>
      </c>
      <c r="K19" s="33" t="n">
        <v>0</v>
      </c>
      <c r="L19" s="33" t="inlineStr">
        <is>
          <t>none</t>
        </is>
      </c>
      <c r="M19" s="33" t="inlineStr">
        <is>
          <t>fp32</t>
        </is>
      </c>
      <c r="N19" s="33" t="inlineStr">
        <is>
          <t>he</t>
        </is>
      </c>
      <c r="O19" s="33" t="n">
        <v>1</v>
      </c>
      <c r="P19" s="34" t="n">
        <v>2.269061</v>
      </c>
      <c r="Q19" s="34" t="n">
        <v>0.212743</v>
      </c>
      <c r="R19" s="33" t="n">
        <v>18</v>
      </c>
      <c r="S19" s="34" t="n">
        <v>0.18681</v>
      </c>
      <c r="T19" s="34" t="n">
        <v>0.213006</v>
      </c>
      <c r="U19" s="34" t="n">
        <v>0.915998</v>
      </c>
      <c r="V19" s="34" t="n">
        <v>0.871918</v>
      </c>
      <c r="W19" s="33" t="n">
        <v>0.487</v>
      </c>
      <c r="X19" s="33" t="n">
        <v>131.3</v>
      </c>
      <c r="Y19" s="33" t="inlineStr">
        <is>
          <t>N</t>
        </is>
      </c>
      <c r="Z19" s="34" t="n"/>
      <c r="AA19" s="34" t="n"/>
      <c r="AB19" s="33" t="inlineStr">
        <is>
          <t>figures/opt-adam-lr0.003.png</t>
        </is>
      </c>
      <c r="AC19" s="33" t="inlineStr">
        <is>
          <t>peak_mem trên MPS: lấy mẫu sau forward, gồm 124 MB dữ liệu</t>
        </is>
      </c>
      <c r="AD19" s="35">
        <f>IF(P19="","",P19-LN(7))</f>
        <v>0.323150850944687</v>
      </c>
      <c r="AE19" s="35">
        <f>IF(OR(T19="",S19=""),"",T19-S19)</f>
        <v>0.026195999999999997</v>
      </c>
      <c r="AF19" s="35">
        <f>IF(OR(V19="",Seeds!$C$8=""),"",V19-Seeds!$C$8)</f>
        <v>0.012821399999999983</v>
      </c>
      <c r="AG19" s="35" t="str">
        <f>IF(OR(AF19="",Seeds!$C$10=""),"",IF(ABS(AF19)&gt;Seeds!$C$10,"Có","Không"))</f>
        <v>Không</v>
      </c>
    </row>
    <row r="20" ht="15" customHeight="1" s="20">
      <c r="A20" s="33" t="inlineStr">
        <is>
          <t>opt-adam-lr0.01</t>
        </is>
      </c>
      <c r="B20" s="33" t="inlineStr">
        <is>
          <t>optimizer</t>
        </is>
      </c>
      <c r="C20" s="33" t="inlineStr">
        <is>
          <t>Adam, lr=0.01</t>
        </is>
      </c>
      <c r="D20" s="33" t="inlineStr">
        <is>
          <t>CE</t>
        </is>
      </c>
      <c r="E20" s="33" t="inlineStr">
        <is>
          <t>Adam</t>
        </is>
      </c>
      <c r="F20" s="33" t="n">
        <v>0.01</v>
      </c>
      <c r="G20" s="33" t="n">
        <v>0</v>
      </c>
      <c r="H20" s="33" t="n">
        <v>512</v>
      </c>
      <c r="I20" s="33" t="n">
        <v>20</v>
      </c>
      <c r="J20" s="33" t="inlineStr">
        <is>
          <t>256-128</t>
        </is>
      </c>
      <c r="K20" s="33" t="n">
        <v>0</v>
      </c>
      <c r="L20" s="33" t="inlineStr">
        <is>
          <t>none</t>
        </is>
      </c>
      <c r="M20" s="33" t="inlineStr">
        <is>
          <t>fp32</t>
        </is>
      </c>
      <c r="N20" s="33" t="inlineStr">
        <is>
          <t>he</t>
        </is>
      </c>
      <c r="O20" s="33" t="n">
        <v>1</v>
      </c>
      <c r="P20" s="34" t="n">
        <v>2.269061</v>
      </c>
      <c r="Q20" s="34" t="n">
        <v>0.217582</v>
      </c>
      <c r="R20" s="33" t="n">
        <v>20</v>
      </c>
      <c r="S20" s="34" t="n">
        <v>0.187927</v>
      </c>
      <c r="T20" s="34" t="n">
        <v>0.217582</v>
      </c>
      <c r="U20" s="34" t="n">
        <v>0.914922</v>
      </c>
      <c r="V20" s="34" t="n">
        <v>0.861206</v>
      </c>
      <c r="W20" s="33" t="n">
        <v>0.492</v>
      </c>
      <c r="X20" s="33" t="n">
        <v>131.3</v>
      </c>
      <c r="Y20" s="33" t="inlineStr">
        <is>
          <t>N</t>
        </is>
      </c>
      <c r="Z20" s="34" t="n"/>
      <c r="AA20" s="34" t="n"/>
      <c r="AB20" s="33" t="inlineStr">
        <is>
          <t>figures/opt-adam-lr0.01.png</t>
        </is>
      </c>
      <c r="AC20" s="33" t="inlineStr">
        <is>
          <t>peak_mem trên MPS: lấy mẫu sau forward, gồm 124 MB dữ liệu</t>
        </is>
      </c>
      <c r="AD20" s="35">
        <f>IF(P20="","",P20-LN(7))</f>
        <v>0.323150850944687</v>
      </c>
      <c r="AE20" s="35">
        <f>IF(OR(T20="",S20=""),"",T20-S20)</f>
        <v>0.029654999999999987</v>
      </c>
      <c r="AF20" s="35">
        <f>IF(OR(V20="",Seeds!$C$8=""),"",V20-Seeds!$C$8)</f>
        <v>0.002109400000000039</v>
      </c>
      <c r="AG20" s="35" t="str">
        <f>IF(OR(AF20="",Seeds!$C$10=""),"",IF(ABS(AF20)&gt;Seeds!$C$10,"Có","Không"))</f>
        <v>Không</v>
      </c>
    </row>
    <row r="21" ht="15" customHeight="1" s="20">
      <c r="A21" s="33" t="inlineStr">
        <is>
          <t>opt-adamw-lr0.0003</t>
        </is>
      </c>
      <c r="B21" s="33" t="inlineStr">
        <is>
          <t>optimizer</t>
        </is>
      </c>
      <c r="C21" s="33" t="inlineStr">
        <is>
          <t>AdamW wd=0.01, lr=0.0003</t>
        </is>
      </c>
      <c r="D21" s="33" t="inlineStr">
        <is>
          <t>CE</t>
        </is>
      </c>
      <c r="E21" s="33" t="inlineStr">
        <is>
          <t>AdamW</t>
        </is>
      </c>
      <c r="F21" s="33" t="n">
        <v>0.0003</v>
      </c>
      <c r="G21" s="33" t="n">
        <v>0.01</v>
      </c>
      <c r="H21" s="33" t="n">
        <v>512</v>
      </c>
      <c r="I21" s="33" t="n">
        <v>20</v>
      </c>
      <c r="J21" s="33" t="inlineStr">
        <is>
          <t>256-128</t>
        </is>
      </c>
      <c r="K21" s="33" t="n">
        <v>0</v>
      </c>
      <c r="L21" s="33" t="inlineStr">
        <is>
          <t>none</t>
        </is>
      </c>
      <c r="M21" s="33" t="inlineStr">
        <is>
          <t>fp32</t>
        </is>
      </c>
      <c r="N21" s="33" t="inlineStr">
        <is>
          <t>he</t>
        </is>
      </c>
      <c r="O21" s="33" t="n">
        <v>1</v>
      </c>
      <c r="P21" s="34" t="n">
        <v>2.269061</v>
      </c>
      <c r="Q21" s="34" t="n">
        <v>0.310772</v>
      </c>
      <c r="R21" s="33" t="n">
        <v>20</v>
      </c>
      <c r="S21" s="34" t="n">
        <v>0.299315</v>
      </c>
      <c r="T21" s="34" t="n">
        <v>0.310772</v>
      </c>
      <c r="U21" s="34" t="n">
        <v>0.8748089999999999</v>
      </c>
      <c r="V21" s="34" t="n">
        <v>0.792202</v>
      </c>
      <c r="W21" s="33" t="n">
        <v>0.492</v>
      </c>
      <c r="X21" s="33" t="n">
        <v>131.3</v>
      </c>
      <c r="Y21" s="33" t="inlineStr">
        <is>
          <t>N</t>
        </is>
      </c>
      <c r="Z21" s="34" t="n"/>
      <c r="AA21" s="34" t="n"/>
      <c r="AB21" s="33" t="inlineStr">
        <is>
          <t>figures/opt-adamw-lr0.0003.png</t>
        </is>
      </c>
      <c r="AC21" s="33" t="inlineStr">
        <is>
          <t>peak_mem trên MPS: lấy mẫu sau forward, gồm 124 MB dữ liệu</t>
        </is>
      </c>
      <c r="AD21" s="35">
        <f>IF(P21="","",P21-LN(7))</f>
        <v>0.323150850944687</v>
      </c>
      <c r="AE21" s="35">
        <f>IF(OR(T21="",S21=""),"",T21-S21)</f>
        <v>0.011456999999999995</v>
      </c>
      <c r="AF21" s="35">
        <f>IF(OR(V21="",Seeds!$C$8=""),"",V21-Seeds!$C$8)</f>
        <v>-0.06689460000000003</v>
      </c>
      <c r="AG21" s="35" t="str">
        <f>IF(OR(AF21="",Seeds!$C$10=""),"",IF(ABS(AF21)&gt;Seeds!$C$10,"Có","Không"))</f>
        <v>Có</v>
      </c>
    </row>
    <row r="22" ht="15" customHeight="1" s="20">
      <c r="A22" s="33" t="inlineStr">
        <is>
          <t>opt-adamw-lr0.001</t>
        </is>
      </c>
      <c r="B22" s="33" t="inlineStr">
        <is>
          <t>optimizer</t>
        </is>
      </c>
      <c r="C22" s="33" t="inlineStr">
        <is>
          <t>AdamW wd=0.01, lr=0.001</t>
        </is>
      </c>
      <c r="D22" s="33" t="inlineStr">
        <is>
          <t>CE</t>
        </is>
      </c>
      <c r="E22" s="33" t="inlineStr">
        <is>
          <t>AdamW</t>
        </is>
      </c>
      <c r="F22" s="33" t="n">
        <v>0.001</v>
      </c>
      <c r="G22" s="33" t="n">
        <v>0.01</v>
      </c>
      <c r="H22" s="33" t="n">
        <v>512</v>
      </c>
      <c r="I22" s="33" t="n">
        <v>20</v>
      </c>
      <c r="J22" s="33" t="inlineStr">
        <is>
          <t>256-128</t>
        </is>
      </c>
      <c r="K22" s="33" t="n">
        <v>0</v>
      </c>
      <c r="L22" s="33" t="inlineStr">
        <is>
          <t>none</t>
        </is>
      </c>
      <c r="M22" s="33" t="inlineStr">
        <is>
          <t>fp32</t>
        </is>
      </c>
      <c r="N22" s="33" t="inlineStr">
        <is>
          <t>he</t>
        </is>
      </c>
      <c r="O22" s="33" t="n">
        <v>1</v>
      </c>
      <c r="P22" s="34" t="n">
        <v>2.269061</v>
      </c>
      <c r="Q22" s="34" t="n">
        <v>0.248432</v>
      </c>
      <c r="R22" s="33" t="n">
        <v>18</v>
      </c>
      <c r="S22" s="34" t="n">
        <v>0.231315</v>
      </c>
      <c r="T22" s="34" t="n">
        <v>0.250927</v>
      </c>
      <c r="U22" s="34" t="n">
        <v>0.900529</v>
      </c>
      <c r="V22" s="34" t="n">
        <v>0.839492</v>
      </c>
      <c r="W22" s="33" t="n">
        <v>0.496</v>
      </c>
      <c r="X22" s="33" t="n">
        <v>131.3</v>
      </c>
      <c r="Y22" s="33" t="inlineStr">
        <is>
          <t>N</t>
        </is>
      </c>
      <c r="Z22" s="34" t="n"/>
      <c r="AA22" s="34" t="n"/>
      <c r="AB22" s="33" t="inlineStr">
        <is>
          <t>figures/opt-adamw-lr0.001.png</t>
        </is>
      </c>
      <c r="AC22" s="33" t="inlineStr">
        <is>
          <t>peak_mem trên MPS: lấy mẫu sau forward, gồm 124 MB dữ liệu</t>
        </is>
      </c>
      <c r="AD22" s="35">
        <f>IF(P22="","",P22-LN(7))</f>
        <v>0.323150850944687</v>
      </c>
      <c r="AE22" s="35">
        <f>IF(OR(T22="",S22=""),"",T22-S22)</f>
        <v>0.01961200000000002</v>
      </c>
      <c r="AF22" s="35">
        <f>IF(OR(V22="",Seeds!$C$8=""),"",V22-Seeds!$C$8)</f>
        <v>-0.019604599999999972</v>
      </c>
      <c r="AG22" s="35" t="str">
        <f>IF(OR(AF22="",Seeds!$C$10=""),"",IF(ABS(AF22)&gt;Seeds!$C$10,"Có","Không"))</f>
        <v>Không</v>
      </c>
    </row>
    <row r="23" ht="15" customHeight="1" s="20">
      <c r="A23" s="33" t="inlineStr">
        <is>
          <t>opt-adamw-lr0.003</t>
        </is>
      </c>
      <c r="B23" s="33" t="inlineStr">
        <is>
          <t>optimizer</t>
        </is>
      </c>
      <c r="C23" s="33" t="inlineStr">
        <is>
          <t>AdamW wd=0.01, lr=0.003</t>
        </is>
      </c>
      <c r="D23" s="33" t="inlineStr">
        <is>
          <t>CE</t>
        </is>
      </c>
      <c r="E23" s="33" t="inlineStr">
        <is>
          <t>AdamW</t>
        </is>
      </c>
      <c r="F23" s="33" t="n">
        <v>0.003</v>
      </c>
      <c r="G23" s="33" t="n">
        <v>0.01</v>
      </c>
      <c r="H23" s="33" t="n">
        <v>512</v>
      </c>
      <c r="I23" s="33" t="n">
        <v>20</v>
      </c>
      <c r="J23" s="33" t="inlineStr">
        <is>
          <t>256-128</t>
        </is>
      </c>
      <c r="K23" s="33" t="n">
        <v>0</v>
      </c>
      <c r="L23" s="33" t="inlineStr">
        <is>
          <t>none</t>
        </is>
      </c>
      <c r="M23" s="33" t="inlineStr">
        <is>
          <t>fp32</t>
        </is>
      </c>
      <c r="N23" s="33" t="inlineStr">
        <is>
          <t>he</t>
        </is>
      </c>
      <c r="O23" s="33" t="n">
        <v>1</v>
      </c>
      <c r="P23" s="34" t="n">
        <v>2.269061</v>
      </c>
      <c r="Q23" s="34" t="n">
        <v>0.211614</v>
      </c>
      <c r="R23" s="33" t="n">
        <v>18</v>
      </c>
      <c r="S23" s="34" t="n">
        <v>0.190649</v>
      </c>
      <c r="T23" s="34" t="n">
        <v>0.21584</v>
      </c>
      <c r="U23" s="34" t="n">
        <v>0.916977</v>
      </c>
      <c r="V23" s="34" t="n">
        <v>0.864588</v>
      </c>
      <c r="W23" s="33" t="n">
        <v>0.487</v>
      </c>
      <c r="X23" s="33" t="n">
        <v>131.3</v>
      </c>
      <c r="Y23" s="33" t="inlineStr">
        <is>
          <t>N</t>
        </is>
      </c>
      <c r="Z23" s="34" t="n"/>
      <c r="AA23" s="34" t="n"/>
      <c r="AB23" s="33" t="inlineStr">
        <is>
          <t>figures/opt-adamw-lr0.003.png</t>
        </is>
      </c>
      <c r="AC23" s="33" t="inlineStr">
        <is>
          <t>peak_mem trên MPS: lấy mẫu sau forward, gồm 124 MB dữ liệu</t>
        </is>
      </c>
      <c r="AD23" s="35">
        <f>IF(P23="","",P23-LN(7))</f>
        <v>0.323150850944687</v>
      </c>
      <c r="AE23" s="35">
        <f>IF(OR(T23="",S23=""),"",T23-S23)</f>
        <v>0.02519099999999999</v>
      </c>
      <c r="AF23" s="35">
        <f>IF(OR(V23="",Seeds!$C$8=""),"",V23-Seeds!$C$8)</f>
        <v>0.005491400000000035</v>
      </c>
      <c r="AG23" s="35" t="str">
        <f>IF(OR(AF23="",Seeds!$C$10=""),"",IF(ABS(AF23)&gt;Seeds!$C$10,"Có","Không"))</f>
        <v>Không</v>
      </c>
    </row>
    <row r="24" ht="15" customHeight="1" s="20">
      <c r="A24" s="33" t="inlineStr">
        <is>
          <t>opt-adamw-lr0.01</t>
        </is>
      </c>
      <c r="B24" s="33" t="inlineStr">
        <is>
          <t>optimizer</t>
        </is>
      </c>
      <c r="C24" s="33" t="inlineStr">
        <is>
          <t>AdamW wd=0.01, lr=0.01</t>
        </is>
      </c>
      <c r="D24" s="33" t="inlineStr">
        <is>
          <t>CE</t>
        </is>
      </c>
      <c r="E24" s="33" t="inlineStr">
        <is>
          <t>AdamW</t>
        </is>
      </c>
      <c r="F24" s="33" t="n">
        <v>0.01</v>
      </c>
      <c r="G24" s="33" t="n">
        <v>0.01</v>
      </c>
      <c r="H24" s="33" t="n">
        <v>512</v>
      </c>
      <c r="I24" s="33" t="n">
        <v>20</v>
      </c>
      <c r="J24" s="33" t="inlineStr">
        <is>
          <t>256-128</t>
        </is>
      </c>
      <c r="K24" s="33" t="n">
        <v>0</v>
      </c>
      <c r="L24" s="33" t="inlineStr">
        <is>
          <t>none</t>
        </is>
      </c>
      <c r="M24" s="33" t="inlineStr">
        <is>
          <t>fp32</t>
        </is>
      </c>
      <c r="N24" s="33" t="inlineStr">
        <is>
          <t>he</t>
        </is>
      </c>
      <c r="O24" s="33" t="n">
        <v>1</v>
      </c>
      <c r="P24" s="34" t="n">
        <v>2.269061</v>
      </c>
      <c r="Q24" s="34" t="n">
        <v>0.229672</v>
      </c>
      <c r="R24" s="33" t="n">
        <v>20</v>
      </c>
      <c r="S24" s="34" t="n">
        <v>0.209894</v>
      </c>
      <c r="T24" s="34" t="n">
        <v>0.229672</v>
      </c>
      <c r="U24" s="34" t="n">
        <v>0.908081</v>
      </c>
      <c r="V24" s="34" t="n">
        <v>0.851532</v>
      </c>
      <c r="W24" s="33" t="n">
        <v>0.49</v>
      </c>
      <c r="X24" s="33" t="n">
        <v>131.3</v>
      </c>
      <c r="Y24" s="33" t="inlineStr">
        <is>
          <t>N</t>
        </is>
      </c>
      <c r="Z24" s="34" t="n"/>
      <c r="AA24" s="34" t="n"/>
      <c r="AB24" s="33" t="inlineStr">
        <is>
          <t>figures/opt-adamw-lr0.01.png</t>
        </is>
      </c>
      <c r="AC24" s="33" t="inlineStr">
        <is>
          <t>peak_mem trên MPS: lấy mẫu sau forward, gồm 124 MB dữ liệu</t>
        </is>
      </c>
      <c r="AD24" s="35">
        <f>IF(P24="","",P24-LN(7))</f>
        <v>0.323150850944687</v>
      </c>
      <c r="AE24" s="35">
        <f>IF(OR(T24="",S24=""),"",T24-S24)</f>
        <v>0.01977799999999999</v>
      </c>
      <c r="AF24" s="35">
        <f>IF(OR(V24="",Seeds!$C$8=""),"",V24-Seeds!$C$8)</f>
        <v>-0.007564600000000032</v>
      </c>
      <c r="AG24" s="35" t="str">
        <f>IF(OR(AF24="",Seeds!$C$10=""),"",IF(ABS(AF24)&gt;Seeds!$C$10,"Có","Không"))</f>
        <v>Không</v>
      </c>
    </row>
    <row r="25" ht="15" customHeight="1" s="20">
      <c r="A25" s="33" t="inlineStr">
        <is>
          <t>opt-adamw-wd0-lr0.003</t>
        </is>
      </c>
      <c r="B25" s="33" t="inlineStr">
        <is>
          <t>optimizer</t>
        </is>
      </c>
      <c r="C25" s="33" t="inlineStr">
        <is>
          <t>AdamW weight_decay=0, lr=0.003 (kiểm chứng = Adam)</t>
        </is>
      </c>
      <c r="D25" s="33" t="inlineStr">
        <is>
          <t>CE</t>
        </is>
      </c>
      <c r="E25" s="33" t="inlineStr">
        <is>
          <t>AdamW</t>
        </is>
      </c>
      <c r="F25" s="33" t="n">
        <v>0.003</v>
      </c>
      <c r="G25" s="33" t="n">
        <v>0</v>
      </c>
      <c r="H25" s="33" t="n">
        <v>512</v>
      </c>
      <c r="I25" s="33" t="n">
        <v>20</v>
      </c>
      <c r="J25" s="33" t="inlineStr">
        <is>
          <t>256-128</t>
        </is>
      </c>
      <c r="K25" s="33" t="n">
        <v>0</v>
      </c>
      <c r="L25" s="33" t="inlineStr">
        <is>
          <t>none</t>
        </is>
      </c>
      <c r="M25" s="33" t="inlineStr">
        <is>
          <t>fp32</t>
        </is>
      </c>
      <c r="N25" s="33" t="inlineStr">
        <is>
          <t>he</t>
        </is>
      </c>
      <c r="O25" s="33" t="n">
        <v>1</v>
      </c>
      <c r="P25" s="34" t="n">
        <v>2.269061</v>
      </c>
      <c r="Q25" s="34" t="n">
        <v>0.212743</v>
      </c>
      <c r="R25" s="33" t="n">
        <v>18</v>
      </c>
      <c r="S25" s="34" t="n">
        <v>0.18681</v>
      </c>
      <c r="T25" s="34" t="n">
        <v>0.213006</v>
      </c>
      <c r="U25" s="34" t="n">
        <v>0.915998</v>
      </c>
      <c r="V25" s="34" t="n">
        <v>0.871918</v>
      </c>
      <c r="W25" s="33" t="n">
        <v>0.485</v>
      </c>
      <c r="X25" s="33" t="n">
        <v>131.3</v>
      </c>
      <c r="Y25" s="33" t="inlineStr">
        <is>
          <t>N</t>
        </is>
      </c>
      <c r="Z25" s="34" t="n"/>
      <c r="AA25" s="34" t="n"/>
      <c r="AB25" s="33" t="inlineStr">
        <is>
          <t>figures/opt-adamw-wd0-lr0.003.png</t>
        </is>
      </c>
      <c r="AC25" s="33" t="inlineStr">
        <is>
          <t>so với opt-adam-lr0.003: phải trùng; peak_mem trên MPS: lấy mẫu sau forward, gồm 124 MB dữ liệu</t>
        </is>
      </c>
      <c r="AD25" s="35">
        <f>IF(P25="","",P25-LN(7))</f>
        <v>0.323150850944687</v>
      </c>
      <c r="AE25" s="35">
        <f>IF(OR(T25="",S25=""),"",T25-S25)</f>
        <v>0.026195999999999997</v>
      </c>
      <c r="AF25" s="35">
        <f>IF(OR(V25="",Seeds!$C$8=""),"",V25-Seeds!$C$8)</f>
        <v>0.012821399999999983</v>
      </c>
      <c r="AG25" s="35" t="str">
        <f>IF(OR(AF25="",Seeds!$C$10=""),"",IF(ABS(AF25)&gt;Seeds!$C$10,"Có","Không"))</f>
        <v>Không</v>
      </c>
    </row>
    <row r="26" ht="15" customHeight="1" s="20">
      <c r="A26" s="33" t="inlineStr">
        <is>
          <t>hp-bs128</t>
        </is>
      </c>
      <c r="B26" s="33" t="inlineStr">
        <is>
          <t>hparam</t>
        </is>
      </c>
      <c r="C26" s="33" t="inlineStr">
        <is>
          <t>batch 128 (×4 số bước/epoch)</t>
        </is>
      </c>
      <c r="D26" s="33" t="inlineStr">
        <is>
          <t>CE</t>
        </is>
      </c>
      <c r="E26" s="33" t="inlineStr">
        <is>
          <t>SGD+momentum</t>
        </is>
      </c>
      <c r="F26" s="33" t="n">
        <v>0.3</v>
      </c>
      <c r="G26" s="33" t="n">
        <v>0</v>
      </c>
      <c r="H26" s="33" t="n">
        <v>128</v>
      </c>
      <c r="I26" s="33" t="n">
        <v>20</v>
      </c>
      <c r="J26" s="33" t="inlineStr">
        <is>
          <t>256-128</t>
        </is>
      </c>
      <c r="K26" s="33" t="n">
        <v>0</v>
      </c>
      <c r="L26" s="33" t="inlineStr">
        <is>
          <t>none</t>
        </is>
      </c>
      <c r="M26" s="33" t="inlineStr">
        <is>
          <t>fp32</t>
        </is>
      </c>
      <c r="N26" s="33" t="inlineStr">
        <is>
          <t>he</t>
        </is>
      </c>
      <c r="O26" s="33" t="n">
        <v>1</v>
      </c>
      <c r="P26" s="34" t="n">
        <v>2.269061</v>
      </c>
      <c r="Q26" s="34" t="n">
        <v>0.332706</v>
      </c>
      <c r="R26" s="33" t="n">
        <v>17</v>
      </c>
      <c r="S26" s="34" t="n">
        <v>0.313172</v>
      </c>
      <c r="T26" s="34" t="n">
        <v>0.33588</v>
      </c>
      <c r="U26" s="34" t="n">
        <v>0.862137</v>
      </c>
      <c r="V26" s="34" t="n">
        <v>0.795773</v>
      </c>
      <c r="W26" s="33" t="n">
        <v>1.206</v>
      </c>
      <c r="X26" s="33" t="n">
        <v>130.4</v>
      </c>
      <c r="Y26" s="33" t="inlineStr">
        <is>
          <t>N</t>
        </is>
      </c>
      <c r="Z26" s="34" t="n"/>
      <c r="AA26" s="34" t="n"/>
      <c r="AB26" s="33" t="inlineStr">
        <is>
          <t>figures/hp-bs128.png</t>
        </is>
      </c>
      <c r="AC26" s="33" t="inlineStr">
        <is>
          <t>peak_mem trên MPS: lấy mẫu sau forward, gồm 124 MB dữ liệu</t>
        </is>
      </c>
      <c r="AD26" s="35">
        <f>IF(P26="","",P26-LN(7))</f>
        <v>0.323150850944687</v>
      </c>
      <c r="AE26" s="35">
        <f>IF(OR(T26="",S26=""),"",T26-S26)</f>
        <v>0.022708000000000006</v>
      </c>
      <c r="AF26" s="35">
        <f>IF(OR(V26="",Seeds!$C$8=""),"",V26-Seeds!$C$8)</f>
        <v>-0.06332360000000004</v>
      </c>
      <c r="AG26" s="35" t="str">
        <f>IF(OR(AF26="",Seeds!$C$10=""),"",IF(ABS(AF26)&gt;Seeds!$C$10,"Có","Không"))</f>
        <v>Có</v>
      </c>
    </row>
    <row r="27" ht="15" customHeight="1" s="20">
      <c r="A27" s="33" t="inlineStr">
        <is>
          <t>hp-bs2048</t>
        </is>
      </c>
      <c r="B27" s="33" t="inlineStr">
        <is>
          <t>hparam</t>
        </is>
      </c>
      <c r="C27" s="33" t="inlineStr">
        <is>
          <t>batch 2048 (÷4 số bước/epoch), cùng lr</t>
        </is>
      </c>
      <c r="D27" s="33" t="inlineStr">
        <is>
          <t>CE</t>
        </is>
      </c>
      <c r="E27" s="33" t="inlineStr">
        <is>
          <t>SGD+momentum</t>
        </is>
      </c>
      <c r="F27" s="33" t="n">
        <v>0.3</v>
      </c>
      <c r="G27" s="33" t="n">
        <v>0</v>
      </c>
      <c r="H27" s="33" t="n">
        <v>2048</v>
      </c>
      <c r="I27" s="33" t="n">
        <v>20</v>
      </c>
      <c r="J27" s="33" t="inlineStr">
        <is>
          <t>256-128</t>
        </is>
      </c>
      <c r="K27" s="33" t="n">
        <v>0</v>
      </c>
      <c r="L27" s="33" t="inlineStr">
        <is>
          <t>none</t>
        </is>
      </c>
      <c r="M27" s="33" t="inlineStr">
        <is>
          <t>fp32</t>
        </is>
      </c>
      <c r="N27" s="33" t="inlineStr">
        <is>
          <t>he</t>
        </is>
      </c>
      <c r="O27" s="33" t="n">
        <v>1</v>
      </c>
      <c r="P27" s="34" t="n">
        <v>2.269061</v>
      </c>
      <c r="Q27" s="34" t="n">
        <v>0.243768</v>
      </c>
      <c r="R27" s="33" t="n">
        <v>20</v>
      </c>
      <c r="S27" s="34" t="n">
        <v>0.224541</v>
      </c>
      <c r="T27" s="34" t="n">
        <v>0.243768</v>
      </c>
      <c r="U27" s="34" t="n">
        <v>0.9035300000000001</v>
      </c>
      <c r="V27" s="34" t="n">
        <v>0.839929</v>
      </c>
      <c r="W27" s="33" t="n">
        <v>0.097</v>
      </c>
      <c r="X27" s="33" t="n">
        <v>134.5</v>
      </c>
      <c r="Y27" s="33" t="inlineStr">
        <is>
          <t>N</t>
        </is>
      </c>
      <c r="Z27" s="34" t="n"/>
      <c r="AA27" s="34" t="n"/>
      <c r="AB27" s="33" t="inlineStr">
        <is>
          <t>figures/hp-bs2048.png</t>
        </is>
      </c>
      <c r="AC27" s="33" t="inlineStr">
        <is>
          <t>peak_mem trên MPS: lấy mẫu sau forward, gồm 124 MB dữ liệu</t>
        </is>
      </c>
      <c r="AD27" s="35">
        <f>IF(P27="","",P27-LN(7))</f>
        <v>0.323150850944687</v>
      </c>
      <c r="AE27" s="35">
        <f>IF(OR(T27="",S27=""),"",T27-S27)</f>
        <v>0.019227000000000022</v>
      </c>
      <c r="AF27" s="35">
        <f>IF(OR(V27="",Seeds!$C$8=""),"",V27-Seeds!$C$8)</f>
        <v>-0.01916759999999995</v>
      </c>
      <c r="AG27" s="35" t="str">
        <f>IF(OR(AF27="",Seeds!$C$10=""),"",IF(ABS(AF27)&gt;Seeds!$C$10,"Có","Không"))</f>
        <v>Không</v>
      </c>
    </row>
    <row r="28" ht="15" customHeight="1" s="20">
      <c r="A28" s="33" t="inlineStr">
        <is>
          <t>hp-bs2048-lrx4-warmup</t>
        </is>
      </c>
      <c r="B28" s="33" t="inlineStr">
        <is>
          <t>hparam</t>
        </is>
      </c>
      <c r="C28" s="33" t="inlineStr">
        <is>
          <t>batch 2048, lr ×4 = 1.2, khởi động 1 epoch</t>
        </is>
      </c>
      <c r="D28" s="33" t="inlineStr">
        <is>
          <t>CE</t>
        </is>
      </c>
      <c r="E28" s="33" t="inlineStr">
        <is>
          <t>SGD+momentum</t>
        </is>
      </c>
      <c r="F28" s="33" t="n">
        <v>1.2</v>
      </c>
      <c r="G28" s="33" t="n">
        <v>0</v>
      </c>
      <c r="H28" s="33" t="n">
        <v>2048</v>
      </c>
      <c r="I28" s="33" t="n">
        <v>20</v>
      </c>
      <c r="J28" s="33" t="inlineStr">
        <is>
          <t>256-128</t>
        </is>
      </c>
      <c r="K28" s="33" t="n">
        <v>0</v>
      </c>
      <c r="L28" s="33" t="inlineStr">
        <is>
          <t>none</t>
        </is>
      </c>
      <c r="M28" s="33" t="inlineStr">
        <is>
          <t>fp32</t>
        </is>
      </c>
      <c r="N28" s="33" t="inlineStr">
        <is>
          <t>he</t>
        </is>
      </c>
      <c r="O28" s="33" t="n">
        <v>1</v>
      </c>
      <c r="P28" s="34" t="n">
        <v>2.269061</v>
      </c>
      <c r="Q28" s="34" t="n">
        <v>0.221046</v>
      </c>
      <c r="R28" s="33" t="n">
        <v>20</v>
      </c>
      <c r="S28" s="34" t="n">
        <v>0.197126</v>
      </c>
      <c r="T28" s="34" t="n">
        <v>0.221046</v>
      </c>
      <c r="U28" s="34" t="n">
        <v>0.911405</v>
      </c>
      <c r="V28" s="34" t="n">
        <v>0.861114</v>
      </c>
      <c r="W28" s="33" t="n">
        <v>0.095</v>
      </c>
      <c r="X28" s="33" t="n">
        <v>134.5</v>
      </c>
      <c r="Y28" s="33" t="inlineStr">
        <is>
          <t>N</t>
        </is>
      </c>
      <c r="Z28" s="34" t="n"/>
      <c r="AA28" s="34" t="n"/>
      <c r="AB28" s="33" t="inlineStr">
        <is>
          <t>figures/hp-bs2048-lrx4-warmup.png</t>
        </is>
      </c>
      <c r="AC28" s="33" t="inlineStr">
        <is>
          <t>quy tắc tăng lr theo lô: đổi batch + lr + warmup; scheduler=warmup, warmup 182 bước; peak_mem trên MPS: lấy mẫu sau forward, gồm 124 MB dữ liệu</t>
        </is>
      </c>
      <c r="AD28" s="35">
        <f>IF(P28="","",P28-LN(7))</f>
        <v>0.323150850944687</v>
      </c>
      <c r="AE28" s="35">
        <f>IF(OR(T28="",S28=""),"",T28-S28)</f>
        <v>0.023919999999999997</v>
      </c>
      <c r="AF28" s="35">
        <f>IF(OR(V28="",Seeds!$C$8=""),"",V28-Seeds!$C$8)</f>
        <v>0.002017400000000058</v>
      </c>
      <c r="AG28" s="35" t="str">
        <f>IF(OR(AF28="",Seeds!$C$10=""),"",IF(ABS(AF28)&gt;Seeds!$C$10,"Có","Không"))</f>
        <v>Không</v>
      </c>
    </row>
    <row r="29" ht="15" customHeight="1" s="20">
      <c r="A29" s="33" t="inlineStr">
        <is>
          <t>hp-wide</t>
        </is>
      </c>
      <c r="B29" s="33" t="inlineStr">
        <is>
          <t>hparam</t>
        </is>
      </c>
      <c r="C29" s="33" t="inlineStr">
        <is>
          <t>M-wide 54-512-256-7 (161 287 tham số)</t>
        </is>
      </c>
      <c r="D29" s="33" t="inlineStr">
        <is>
          <t>CE</t>
        </is>
      </c>
      <c r="E29" s="33" t="inlineStr">
        <is>
          <t>SGD+momentum</t>
        </is>
      </c>
      <c r="F29" s="33" t="n">
        <v>0.3</v>
      </c>
      <c r="G29" s="33" t="n">
        <v>0</v>
      </c>
      <c r="H29" s="33" t="n">
        <v>512</v>
      </c>
      <c r="I29" s="33" t="n">
        <v>20</v>
      </c>
      <c r="J29" s="33" t="inlineStr">
        <is>
          <t>512-256</t>
        </is>
      </c>
      <c r="K29" s="33" t="n">
        <v>0</v>
      </c>
      <c r="L29" s="33" t="inlineStr">
        <is>
          <t>none</t>
        </is>
      </c>
      <c r="M29" s="33" t="inlineStr">
        <is>
          <t>fp32</t>
        </is>
      </c>
      <c r="N29" s="33" t="inlineStr">
        <is>
          <t>he</t>
        </is>
      </c>
      <c r="O29" s="33" t="n">
        <v>1</v>
      </c>
      <c r="P29" s="34" t="n">
        <v>1.918217</v>
      </c>
      <c r="Q29" s="34" t="n">
        <v>0.197162</v>
      </c>
      <c r="R29" s="33" t="n">
        <v>20</v>
      </c>
      <c r="S29" s="34" t="n">
        <v>0.165103</v>
      </c>
      <c r="T29" s="34" t="n">
        <v>0.197162</v>
      </c>
      <c r="U29" s="34" t="n">
        <v>0.922054</v>
      </c>
      <c r="V29" s="34" t="n">
        <v>0.873646</v>
      </c>
      <c r="W29" s="33" t="n">
        <v>0.36</v>
      </c>
      <c r="X29" s="33" t="n">
        <v>133.1</v>
      </c>
      <c r="Y29" s="33" t="inlineStr">
        <is>
          <t>N</t>
        </is>
      </c>
      <c r="Z29" s="34" t="n"/>
      <c r="AA29" s="34" t="n"/>
      <c r="AB29" s="33" t="inlineStr">
        <is>
          <t>figures/hp-wide.png</t>
        </is>
      </c>
      <c r="AC29" s="33" t="inlineStr">
        <is>
          <t>peak_mem trên MPS: lấy mẫu sau forward, gồm 124 MB dữ liệu</t>
        </is>
      </c>
      <c r="AD29" s="35">
        <f>IF(P29="","",P29-LN(7))</f>
        <v>-0.02769314905531317</v>
      </c>
      <c r="AE29" s="35">
        <f>IF(OR(T29="",S29=""),"",T29-S29)</f>
        <v>0.032059000000000004</v>
      </c>
      <c r="AF29" s="35">
        <f>IF(OR(V29="",Seeds!$C$8=""),"",V29-Seeds!$C$8)</f>
        <v>0.014549400000000046</v>
      </c>
      <c r="AG29" s="35" t="str">
        <f>IF(OR(AF29="",Seeds!$C$10=""),"",IF(ABS(AF29)&gt;Seeds!$C$10,"Có","Không"))</f>
        <v>Không</v>
      </c>
    </row>
    <row r="30" ht="15" customHeight="1" s="20">
      <c r="A30" s="33" t="inlineStr">
        <is>
          <t>hp-deep</t>
        </is>
      </c>
      <c r="B30" s="33" t="inlineStr">
        <is>
          <t>hparam</t>
        </is>
      </c>
      <c r="C30" s="33" t="inlineStr">
        <is>
          <t>M-deep 54-256-128-64-7 (55 687 tham số)</t>
        </is>
      </c>
      <c r="D30" s="33" t="inlineStr">
        <is>
          <t>CE</t>
        </is>
      </c>
      <c r="E30" s="33" t="inlineStr">
        <is>
          <t>SGD+momentum</t>
        </is>
      </c>
      <c r="F30" s="33" t="n">
        <v>0.3</v>
      </c>
      <c r="G30" s="33" t="n">
        <v>0</v>
      </c>
      <c r="H30" s="33" t="n">
        <v>512</v>
      </c>
      <c r="I30" s="33" t="n">
        <v>20</v>
      </c>
      <c r="J30" s="33" t="inlineStr">
        <is>
          <t>256-128-64</t>
        </is>
      </c>
      <c r="K30" s="33" t="n">
        <v>0</v>
      </c>
      <c r="L30" s="33" t="inlineStr">
        <is>
          <t>none</t>
        </is>
      </c>
      <c r="M30" s="33" t="inlineStr">
        <is>
          <t>fp32</t>
        </is>
      </c>
      <c r="N30" s="33" t="inlineStr">
        <is>
          <t>he</t>
        </is>
      </c>
      <c r="O30" s="33" t="n">
        <v>1</v>
      </c>
      <c r="P30" s="34" t="n">
        <v>1.909942</v>
      </c>
      <c r="Q30" s="34" t="n">
        <v>0.21982</v>
      </c>
      <c r="R30" s="33" t="n">
        <v>20</v>
      </c>
      <c r="S30" s="34" t="n">
        <v>0.196671</v>
      </c>
      <c r="T30" s="34" t="n">
        <v>0.21982</v>
      </c>
      <c r="U30" s="34" t="n">
        <v>0.912674</v>
      </c>
      <c r="V30" s="34" t="n">
        <v>0.853719</v>
      </c>
      <c r="W30" s="33" t="n">
        <v>0.37</v>
      </c>
      <c r="X30" s="33" t="n">
        <v>131.6</v>
      </c>
      <c r="Y30" s="33" t="inlineStr">
        <is>
          <t>N</t>
        </is>
      </c>
      <c r="Z30" s="34" t="n"/>
      <c r="AA30" s="34" t="n"/>
      <c r="AB30" s="33" t="inlineStr">
        <is>
          <t>figures/hp-deep.png</t>
        </is>
      </c>
      <c r="AC30" s="33" t="inlineStr">
        <is>
          <t>peak_mem trên MPS: lấy mẫu sau forward, gồm 124 MB dữ liệu</t>
        </is>
      </c>
      <c r="AD30" s="35">
        <f>IF(P30="","",P30-LN(7))</f>
        <v>-0.0359681490553132</v>
      </c>
      <c r="AE30" s="35">
        <f>IF(OR(T30="",S30=""),"",T30-S30)</f>
        <v>0.023148999999999975</v>
      </c>
      <c r="AF30" s="35">
        <f>IF(OR(V30="",Seeds!$C$8=""),"",V30-Seeds!$C$8)</f>
        <v>-0.005377599999999982</v>
      </c>
      <c r="AG30" s="35" t="str">
        <f>IF(OR(AF30="",Seeds!$C$10=""),"",IF(ABS(AF30)&gt;Seeds!$C$10,"Có","Không"))</f>
        <v>Không</v>
      </c>
    </row>
    <row r="31" ht="15" customHeight="1" s="20">
      <c r="A31" s="33" t="inlineStr">
        <is>
          <t>hp-ep40</t>
        </is>
      </c>
      <c r="B31" s="33" t="inlineStr">
        <is>
          <t>hparam</t>
        </is>
      </c>
      <c r="C31" s="33" t="inlineStr">
        <is>
          <t>40 epoch thay vì 20</t>
        </is>
      </c>
      <c r="D31" s="33" t="inlineStr">
        <is>
          <t>CE</t>
        </is>
      </c>
      <c r="E31" s="33" t="inlineStr">
        <is>
          <t>SGD+momentum</t>
        </is>
      </c>
      <c r="F31" s="33" t="n">
        <v>0.3</v>
      </c>
      <c r="G31" s="33" t="n">
        <v>0</v>
      </c>
      <c r="H31" s="33" t="n">
        <v>512</v>
      </c>
      <c r="I31" s="33" t="n">
        <v>40</v>
      </c>
      <c r="J31" s="33" t="inlineStr">
        <is>
          <t>256-128</t>
        </is>
      </c>
      <c r="K31" s="33" t="n">
        <v>0</v>
      </c>
      <c r="L31" s="33" t="inlineStr">
        <is>
          <t>none</t>
        </is>
      </c>
      <c r="M31" s="33" t="inlineStr">
        <is>
          <t>fp32</t>
        </is>
      </c>
      <c r="N31" s="33" t="inlineStr">
        <is>
          <t>he</t>
        </is>
      </c>
      <c r="O31" s="33" t="n">
        <v>1</v>
      </c>
      <c r="P31" s="34" t="n">
        <v>2.269061</v>
      </c>
      <c r="Q31" s="34" t="n">
        <v>0.201912</v>
      </c>
      <c r="R31" s="33" t="n">
        <v>36</v>
      </c>
      <c r="S31" s="34" t="n">
        <v>0.169193</v>
      </c>
      <c r="T31" s="34" t="n">
        <v>0.202173</v>
      </c>
      <c r="U31" s="34" t="n">
        <v>0.923678</v>
      </c>
      <c r="V31" s="34" t="n">
        <v>0.875653</v>
      </c>
      <c r="W31" s="33" t="n">
        <v>0.31</v>
      </c>
      <c r="X31" s="33" t="n">
        <v>131.4</v>
      </c>
      <c r="Y31" s="33" t="inlineStr">
        <is>
          <t>N</t>
        </is>
      </c>
      <c r="Z31" s="34" t="n"/>
      <c r="AA31" s="34" t="n"/>
      <c r="AB31" s="33" t="inlineStr">
        <is>
          <t>figures/hp-ep40.png</t>
        </is>
      </c>
      <c r="AC31" s="33" t="inlineStr">
        <is>
          <t>peak_mem trên MPS: lấy mẫu sau forward, gồm 124 MB dữ liệu</t>
        </is>
      </c>
      <c r="AD31" s="35">
        <f>IF(P31="","",P31-LN(7))</f>
        <v>0.323150850944687</v>
      </c>
      <c r="AE31" s="35">
        <f>IF(OR(T31="",S31=""),"",T31-S31)</f>
        <v>0.03297999999999998</v>
      </c>
      <c r="AF31" s="35">
        <f>IF(OR(V31="",Seeds!$C$8=""),"",V31-Seeds!$C$8)</f>
        <v>0.016556400000000027</v>
      </c>
      <c r="AG31" s="35" t="str">
        <f>IF(OR(AF31="",Seeds!$C$10=""),"",IF(ABS(AF31)&gt;Seeds!$C$10,"Có","Không"))</f>
        <v>Không</v>
      </c>
    </row>
    <row r="32" ht="15" customHeight="1" s="20">
      <c r="A32" s="33" t="inlineStr">
        <is>
          <t>hp-cosine</t>
        </is>
      </c>
      <c r="B32" s="33" t="inlineStr">
        <is>
          <t>hparam</t>
        </is>
      </c>
      <c r="C32" s="33" t="inlineStr">
        <is>
          <t>lịch lr cosine về 0 trong 20 epoch</t>
        </is>
      </c>
      <c r="D32" s="33" t="inlineStr">
        <is>
          <t>CE</t>
        </is>
      </c>
      <c r="E32" s="33" t="inlineStr">
        <is>
          <t>SGD+momentum</t>
        </is>
      </c>
      <c r="F32" s="33" t="n">
        <v>0.3</v>
      </c>
      <c r="G32" s="33" t="n">
        <v>0</v>
      </c>
      <c r="H32" s="33" t="n">
        <v>512</v>
      </c>
      <c r="I32" s="33" t="n">
        <v>20</v>
      </c>
      <c r="J32" s="33" t="inlineStr">
        <is>
          <t>256-128</t>
        </is>
      </c>
      <c r="K32" s="33" t="n">
        <v>0</v>
      </c>
      <c r="L32" s="33" t="inlineStr">
        <is>
          <t>none</t>
        </is>
      </c>
      <c r="M32" s="33" t="inlineStr">
        <is>
          <t>fp32</t>
        </is>
      </c>
      <c r="N32" s="33" t="inlineStr">
        <is>
          <t>he</t>
        </is>
      </c>
      <c r="O32" s="33" t="n">
        <v>1</v>
      </c>
      <c r="P32" s="34" t="n">
        <v>2.269061</v>
      </c>
      <c r="Q32" s="34" t="n">
        <v>0.168113</v>
      </c>
      <c r="R32" s="33" t="n">
        <v>20</v>
      </c>
      <c r="S32" s="34" t="n">
        <v>0.137145</v>
      </c>
      <c r="T32" s="34" t="n">
        <v>0.168113</v>
      </c>
      <c r="U32" s="34" t="n">
        <v>0.933962</v>
      </c>
      <c r="V32" s="34" t="n">
        <v>0.888532</v>
      </c>
      <c r="W32" s="33" t="n">
        <v>0.312</v>
      </c>
      <c r="X32" s="33" t="n">
        <v>131.4</v>
      </c>
      <c r="Y32" s="33" t="inlineStr">
        <is>
          <t>N</t>
        </is>
      </c>
      <c r="Z32" s="34" t="n"/>
      <c r="AA32" s="34" t="n"/>
      <c r="AB32" s="33" t="inlineStr">
        <is>
          <t>figures/hp-cosine.png</t>
        </is>
      </c>
      <c r="AC32" s="33" t="inlineStr">
        <is>
          <t>scheduler=cosine; peak_mem trên MPS: lấy mẫu sau forward, gồm 124 MB dữ liệu</t>
        </is>
      </c>
      <c r="AD32" s="35">
        <f>IF(P32="","",P32-LN(7))</f>
        <v>0.323150850944687</v>
      </c>
      <c r="AE32" s="35">
        <f>IF(OR(T32="",S32=""),"",T32-S32)</f>
        <v>0.030968000000000023</v>
      </c>
      <c r="AF32" s="35">
        <f>IF(OR(V32="",Seeds!$C$8=""),"",V32-Seeds!$C$8)</f>
        <v>0.0294354</v>
      </c>
      <c r="AG32" s="35" t="str">
        <f>IF(OR(AF32="",Seeds!$C$10=""),"",IF(ABS(AF32)&gt;Seeds!$C$10,"Có","Không"))</f>
        <v>Có</v>
      </c>
    </row>
    <row r="33" ht="15" customHeight="1" s="20">
      <c r="A33" s="33" t="inlineStr">
        <is>
          <t>hp-wd5e-4</t>
        </is>
      </c>
      <c r="B33" s="33" t="inlineStr">
        <is>
          <t>hparam</t>
        </is>
      </c>
      <c r="C33" s="33" t="inlineStr">
        <is>
          <t>weight_decay 5e-4 (L2 qua SGD)</t>
        </is>
      </c>
      <c r="D33" s="33" t="inlineStr">
        <is>
          <t>CE</t>
        </is>
      </c>
      <c r="E33" s="33" t="inlineStr">
        <is>
          <t>SGD+momentum</t>
        </is>
      </c>
      <c r="F33" s="33" t="n">
        <v>0.3</v>
      </c>
      <c r="G33" s="33" t="n">
        <v>0.0005</v>
      </c>
      <c r="H33" s="33" t="n">
        <v>512</v>
      </c>
      <c r="I33" s="33" t="n">
        <v>20</v>
      </c>
      <c r="J33" s="33" t="inlineStr">
        <is>
          <t>256-128</t>
        </is>
      </c>
      <c r="K33" s="33" t="n">
        <v>0</v>
      </c>
      <c r="L33" s="33" t="inlineStr">
        <is>
          <t>none</t>
        </is>
      </c>
      <c r="M33" s="33" t="inlineStr">
        <is>
          <t>fp32</t>
        </is>
      </c>
      <c r="N33" s="33" t="inlineStr">
        <is>
          <t>he</t>
        </is>
      </c>
      <c r="O33" s="33" t="n">
        <v>1</v>
      </c>
      <c r="P33" s="34" t="n">
        <v>2.269061</v>
      </c>
      <c r="Q33" s="34" t="n">
        <v>0.389368</v>
      </c>
      <c r="R33" s="33" t="n">
        <v>15</v>
      </c>
      <c r="S33" s="34" t="n">
        <v>0.395694</v>
      </c>
      <c r="T33" s="34" t="n">
        <v>0.403017</v>
      </c>
      <c r="U33" s="34" t="n">
        <v>0.838235</v>
      </c>
      <c r="V33" s="34" t="n">
        <v>0.707586</v>
      </c>
      <c r="W33" s="33" t="n">
        <v>0.319</v>
      </c>
      <c r="X33" s="33" t="n">
        <v>131.4</v>
      </c>
      <c r="Y33" s="33" t="inlineStr">
        <is>
          <t>N</t>
        </is>
      </c>
      <c r="Z33" s="34" t="n"/>
      <c r="AA33" s="34" t="n"/>
      <c r="AB33" s="33" t="inlineStr">
        <is>
          <t>figures/hp-wd5e-4.png</t>
        </is>
      </c>
      <c r="AC33" s="33" t="inlineStr">
        <is>
          <t>peak_mem trên MPS: lấy mẫu sau forward, gồm 124 MB dữ liệu</t>
        </is>
      </c>
      <c r="AD33" s="35">
        <f>IF(P33="","",P33-LN(7))</f>
        <v>0.323150850944687</v>
      </c>
      <c r="AE33" s="35">
        <f>IF(OR(T33="",S33=""),"",T33-S33)</f>
        <v>0.007323000000000024</v>
      </c>
      <c r="AF33" s="35">
        <f>IF(OR(V33="",Seeds!$C$8=""),"",V33-Seeds!$C$8)</f>
        <v>-0.15151059999999994</v>
      </c>
      <c r="AG33" s="35" t="str">
        <f>IF(OR(AF33="",Seeds!$C$10=""),"",IF(ABS(AF33)&gt;Seeds!$C$10,"Có","Không"))</f>
        <v>Có</v>
      </c>
    </row>
    <row r="34" ht="15" customHeight="1" s="20">
      <c r="A34" s="33" t="inlineStr">
        <is>
          <t>drop-0.1</t>
        </is>
      </c>
      <c r="B34" s="33" t="inlineStr">
        <is>
          <t>dropout</t>
        </is>
      </c>
      <c r="C34" s="33" t="inlineStr">
        <is>
          <t>dropout q=0.1 sau ReLU của mỗi lớp ẩn</t>
        </is>
      </c>
      <c r="D34" s="33" t="inlineStr">
        <is>
          <t>CE</t>
        </is>
      </c>
      <c r="E34" s="33" t="inlineStr">
        <is>
          <t>SGD+momentum</t>
        </is>
      </c>
      <c r="F34" s="33" t="n">
        <v>0.3</v>
      </c>
      <c r="G34" s="33" t="n">
        <v>0</v>
      </c>
      <c r="H34" s="33" t="n">
        <v>512</v>
      </c>
      <c r="I34" s="33" t="n">
        <v>20</v>
      </c>
      <c r="J34" s="33" t="inlineStr">
        <is>
          <t>256-128</t>
        </is>
      </c>
      <c r="K34" s="33" t="n">
        <v>0.1</v>
      </c>
      <c r="L34" s="33" t="inlineStr">
        <is>
          <t>none</t>
        </is>
      </c>
      <c r="M34" s="33" t="inlineStr">
        <is>
          <t>fp32</t>
        </is>
      </c>
      <c r="N34" s="33" t="inlineStr">
        <is>
          <t>he</t>
        </is>
      </c>
      <c r="O34" s="33" t="n">
        <v>1</v>
      </c>
      <c r="P34" s="34" t="n">
        <v>2.269061</v>
      </c>
      <c r="Q34" s="34" t="n">
        <v>0.238972</v>
      </c>
      <c r="R34" s="33" t="n">
        <v>20</v>
      </c>
      <c r="S34" s="34" t="n">
        <v>0.226844</v>
      </c>
      <c r="T34" s="34" t="n">
        <v>0.238972</v>
      </c>
      <c r="U34" s="34" t="n">
        <v>0.9033369999999999</v>
      </c>
      <c r="V34" s="34" t="n">
        <v>0.839118</v>
      </c>
      <c r="W34" s="33" t="n">
        <v>0.324</v>
      </c>
      <c r="X34" s="33" t="n">
        <v>132.9</v>
      </c>
      <c r="Y34" s="33" t="inlineStr">
        <is>
          <t>N</t>
        </is>
      </c>
      <c r="Z34" s="34" t="n"/>
      <c r="AA34" s="34" t="n"/>
      <c r="AB34" s="33" t="inlineStr">
        <is>
          <t>figures/drop-0.1.png</t>
        </is>
      </c>
      <c r="AC34" s="33" t="inlineStr">
        <is>
          <t>peak_mem trên MPS: lấy mẫu sau forward, gồm 124 MB dữ liệu</t>
        </is>
      </c>
      <c r="AD34" s="35">
        <f>IF(P34="","",P34-LN(7))</f>
        <v>0.323150850944687</v>
      </c>
      <c r="AE34" s="35">
        <f>IF(OR(T34="",S34=""),"",T34-S34)</f>
        <v>0.012128</v>
      </c>
      <c r="AF34" s="35">
        <f>IF(OR(V34="",Seeds!$C$8=""),"",V34-Seeds!$C$8)</f>
        <v>-0.019978599999999958</v>
      </c>
      <c r="AG34" s="35" t="str">
        <f>IF(OR(AF34="",Seeds!$C$10=""),"",IF(ABS(AF34)&gt;Seeds!$C$10,"Có","Không"))</f>
        <v>Không</v>
      </c>
    </row>
    <row r="35" ht="15" customHeight="1" s="20">
      <c r="A35" s="33" t="inlineStr">
        <is>
          <t>drop-0.3</t>
        </is>
      </c>
      <c r="B35" s="33" t="inlineStr">
        <is>
          <t>dropout</t>
        </is>
      </c>
      <c r="C35" s="33" t="inlineStr">
        <is>
          <t>dropout q=0.3 sau ReLU của mỗi lớp ẩn</t>
        </is>
      </c>
      <c r="D35" s="33" t="inlineStr">
        <is>
          <t>CE</t>
        </is>
      </c>
      <c r="E35" s="33" t="inlineStr">
        <is>
          <t>SGD+momentum</t>
        </is>
      </c>
      <c r="F35" s="33" t="n">
        <v>0.3</v>
      </c>
      <c r="G35" s="33" t="n">
        <v>0</v>
      </c>
      <c r="H35" s="33" t="n">
        <v>512</v>
      </c>
      <c r="I35" s="33" t="n">
        <v>20</v>
      </c>
      <c r="J35" s="33" t="inlineStr">
        <is>
          <t>256-128</t>
        </is>
      </c>
      <c r="K35" s="33" t="n">
        <v>0.3</v>
      </c>
      <c r="L35" s="33" t="inlineStr">
        <is>
          <t>none</t>
        </is>
      </c>
      <c r="M35" s="33" t="inlineStr">
        <is>
          <t>fp32</t>
        </is>
      </c>
      <c r="N35" s="33" t="inlineStr">
        <is>
          <t>he</t>
        </is>
      </c>
      <c r="O35" s="33" t="n">
        <v>1</v>
      </c>
      <c r="P35" s="34" t="n">
        <v>2.269061</v>
      </c>
      <c r="Q35" s="34" t="n">
        <v>0.312099</v>
      </c>
      <c r="R35" s="33" t="n">
        <v>20</v>
      </c>
      <c r="S35" s="34" t="n">
        <v>0.304816</v>
      </c>
      <c r="T35" s="34" t="n">
        <v>0.312099</v>
      </c>
      <c r="U35" s="34" t="n">
        <v>0.871776</v>
      </c>
      <c r="V35" s="34" t="n">
        <v>0.789897</v>
      </c>
      <c r="W35" s="33" t="n">
        <v>0.325</v>
      </c>
      <c r="X35" s="33" t="n">
        <v>132.9</v>
      </c>
      <c r="Y35" s="33" t="inlineStr">
        <is>
          <t>N</t>
        </is>
      </c>
      <c r="Z35" s="34" t="n"/>
      <c r="AA35" s="34" t="n"/>
      <c r="AB35" s="33" t="inlineStr">
        <is>
          <t>figures/drop-0.3.png</t>
        </is>
      </c>
      <c r="AC35" s="33" t="inlineStr">
        <is>
          <t>peak_mem trên MPS: lấy mẫu sau forward, gồm 124 MB dữ liệu</t>
        </is>
      </c>
      <c r="AD35" s="35">
        <f>IF(P35="","",P35-LN(7))</f>
        <v>0.323150850944687</v>
      </c>
      <c r="AE35" s="35">
        <f>IF(OR(T35="",S35=""),"",T35-S35)</f>
        <v>0.0072830000000000394</v>
      </c>
      <c r="AF35" s="35">
        <f>IF(OR(V35="",Seeds!$C$8=""),"",V35-Seeds!$C$8)</f>
        <v>-0.06919960000000003</v>
      </c>
      <c r="AG35" s="35" t="str">
        <f>IF(OR(AF35="",Seeds!$C$10=""),"",IF(ABS(AF35)&gt;Seeds!$C$10,"Có","Không"))</f>
        <v>Có</v>
      </c>
    </row>
    <row r="36" ht="15" customHeight="1" s="20">
      <c r="A36" s="33" t="inlineStr">
        <is>
          <t>drop-0.5</t>
        </is>
      </c>
      <c r="B36" s="33" t="inlineStr">
        <is>
          <t>dropout</t>
        </is>
      </c>
      <c r="C36" s="33" t="inlineStr">
        <is>
          <t>dropout q=0.5 sau ReLU của mỗi lớp ẩn</t>
        </is>
      </c>
      <c r="D36" s="33" t="inlineStr">
        <is>
          <t>CE</t>
        </is>
      </c>
      <c r="E36" s="33" t="inlineStr">
        <is>
          <t>SGD+momentum</t>
        </is>
      </c>
      <c r="F36" s="33" t="n">
        <v>0.3</v>
      </c>
      <c r="G36" s="33" t="n">
        <v>0</v>
      </c>
      <c r="H36" s="33" t="n">
        <v>512</v>
      </c>
      <c r="I36" s="33" t="n">
        <v>20</v>
      </c>
      <c r="J36" s="33" t="inlineStr">
        <is>
          <t>256-128</t>
        </is>
      </c>
      <c r="K36" s="33" t="n">
        <v>0.5</v>
      </c>
      <c r="L36" s="33" t="inlineStr">
        <is>
          <t>none</t>
        </is>
      </c>
      <c r="M36" s="33" t="inlineStr">
        <is>
          <t>fp32</t>
        </is>
      </c>
      <c r="N36" s="33" t="inlineStr">
        <is>
          <t>he</t>
        </is>
      </c>
      <c r="O36" s="33" t="n">
        <v>1</v>
      </c>
      <c r="P36" s="34" t="n">
        <v>2.269061</v>
      </c>
      <c r="Q36" s="34" t="n">
        <v>0.418487</v>
      </c>
      <c r="R36" s="33" t="n">
        <v>20</v>
      </c>
      <c r="S36" s="34" t="n">
        <v>0.414255</v>
      </c>
      <c r="T36" s="34" t="n">
        <v>0.418487</v>
      </c>
      <c r="U36" s="34" t="n">
        <v>0.823691</v>
      </c>
      <c r="V36" s="34" t="n">
        <v>0.64755</v>
      </c>
      <c r="W36" s="33" t="n">
        <v>0.325</v>
      </c>
      <c r="X36" s="33" t="n">
        <v>132.9</v>
      </c>
      <c r="Y36" s="33" t="inlineStr">
        <is>
          <t>N</t>
        </is>
      </c>
      <c r="Z36" s="34" t="n"/>
      <c r="AA36" s="34" t="n"/>
      <c r="AB36" s="33" t="inlineStr">
        <is>
          <t>figures/drop-0.5.png</t>
        </is>
      </c>
      <c r="AC36" s="33" t="inlineStr">
        <is>
          <t>peak_mem trên MPS: lấy mẫu sau forward, gồm 124 MB dữ liệu</t>
        </is>
      </c>
      <c r="AD36" s="35">
        <f>IF(P36="","",P36-LN(7))</f>
        <v>0.323150850944687</v>
      </c>
      <c r="AE36" s="35">
        <f>IF(OR(T36="",S36=""),"",T36-S36)</f>
        <v>0.0042320000000000135</v>
      </c>
      <c r="AF36" s="35">
        <f>IF(OR(V36="",Seeds!$C$8=""),"",V36-Seeds!$C$8)</f>
        <v>-0.21154660000000003</v>
      </c>
      <c r="AG36" s="35" t="str">
        <f>IF(OR(AF36="",Seeds!$C$10=""),"",IF(ABS(AF36)&gt;Seeds!$C$10,"Có","Không"))</f>
        <v>Có</v>
      </c>
    </row>
    <row r="37" ht="15" customHeight="1" s="20">
      <c r="A37" s="33" t="inlineStr">
        <is>
          <t>clip-0.35</t>
        </is>
      </c>
      <c r="B37" s="33" t="inlineStr">
        <is>
          <t>clipping</t>
        </is>
      </c>
      <c r="C37" s="33" t="inlineStr">
        <is>
          <t>clip c=0.35 (trung vị ‖g‖ của baseline), lr baseline</t>
        </is>
      </c>
      <c r="D37" s="33" t="inlineStr">
        <is>
          <t>CE</t>
        </is>
      </c>
      <c r="E37" s="33" t="inlineStr">
        <is>
          <t>SGD+momentum</t>
        </is>
      </c>
      <c r="F37" s="33" t="n">
        <v>0.3</v>
      </c>
      <c r="G37" s="33" t="n">
        <v>0</v>
      </c>
      <c r="H37" s="33" t="n">
        <v>512</v>
      </c>
      <c r="I37" s="33" t="n">
        <v>20</v>
      </c>
      <c r="J37" s="33" t="inlineStr">
        <is>
          <t>256-128</t>
        </is>
      </c>
      <c r="K37" s="33" t="n">
        <v>0</v>
      </c>
      <c r="L37" s="33" t="n">
        <v>0.35</v>
      </c>
      <c r="M37" s="33" t="inlineStr">
        <is>
          <t>fp32</t>
        </is>
      </c>
      <c r="N37" s="33" t="inlineStr">
        <is>
          <t>he</t>
        </is>
      </c>
      <c r="O37" s="33" t="n">
        <v>1</v>
      </c>
      <c r="P37" s="34" t="n">
        <v>2.269061</v>
      </c>
      <c r="Q37" s="34" t="n">
        <v>0.228464</v>
      </c>
      <c r="R37" s="33" t="n">
        <v>18</v>
      </c>
      <c r="S37" s="34" t="n">
        <v>0.205943</v>
      </c>
      <c r="T37" s="34" t="n">
        <v>0.234002</v>
      </c>
      <c r="U37" s="34" t="n">
        <v>0.908425</v>
      </c>
      <c r="V37" s="34" t="n">
        <v>0.86169</v>
      </c>
      <c r="W37" s="33" t="n">
        <v>0.323</v>
      </c>
      <c r="X37" s="33" t="n">
        <v>131.4</v>
      </c>
      <c r="Y37" s="33" t="inlineStr">
        <is>
          <t>N</t>
        </is>
      </c>
      <c r="Z37" s="34" t="n"/>
      <c r="AA37" s="34" t="n"/>
      <c r="AB37" s="33" t="inlineStr">
        <is>
          <t>figures/clip-0.35.png</t>
        </is>
      </c>
      <c r="AC37" s="33" t="inlineStr">
        <is>
          <t>peak_mem trên MPS: lấy mẫu sau forward, gồm 124 MB dữ liệu</t>
        </is>
      </c>
      <c r="AD37" s="35">
        <f>IF(P37="","",P37-LN(7))</f>
        <v>0.323150850944687</v>
      </c>
      <c r="AE37" s="35">
        <f>IF(OR(T37="",S37=""),"",T37-S37)</f>
        <v>0.028059</v>
      </c>
      <c r="AF37" s="35">
        <f>IF(OR(V37="",Seeds!$C$8=""),"",V37-Seeds!$C$8)</f>
        <v>0.002593399999999968</v>
      </c>
      <c r="AG37" s="35" t="str">
        <f>IF(OR(AF37="",Seeds!$C$10=""),"",IF(ABS(AF37)&gt;Seeds!$C$10,"Có","Không"))</f>
        <v>Không</v>
      </c>
    </row>
    <row r="38" ht="15" customHeight="1" s="20">
      <c r="A38" s="33" t="inlineStr">
        <is>
          <t>clip-none-lr0.9</t>
        </is>
      </c>
      <c r="B38" s="33" t="inlineStr">
        <is>
          <t>clipping</t>
        </is>
      </c>
      <c r="C38" s="33" t="inlineStr">
        <is>
          <t>KHÔNG clip, lr ×3 = 0.9</t>
        </is>
      </c>
      <c r="D38" s="33" t="inlineStr">
        <is>
          <t>CE</t>
        </is>
      </c>
      <c r="E38" s="33" t="inlineStr">
        <is>
          <t>SGD+momentum</t>
        </is>
      </c>
      <c r="F38" s="33" t="n">
        <v>0.8999999999999999</v>
      </c>
      <c r="G38" s="33" t="n">
        <v>0</v>
      </c>
      <c r="H38" s="33" t="n">
        <v>512</v>
      </c>
      <c r="I38" s="33" t="n">
        <v>20</v>
      </c>
      <c r="J38" s="33" t="inlineStr">
        <is>
          <t>256-128</t>
        </is>
      </c>
      <c r="K38" s="33" t="n">
        <v>0</v>
      </c>
      <c r="L38" s="33" t="inlineStr">
        <is>
          <t>none</t>
        </is>
      </c>
      <c r="M38" s="33" t="inlineStr">
        <is>
          <t>fp32</t>
        </is>
      </c>
      <c r="N38" s="33" t="inlineStr">
        <is>
          <t>he</t>
        </is>
      </c>
      <c r="O38" s="33" t="n">
        <v>1</v>
      </c>
      <c r="P38" s="34" t="n">
        <v>2.269061</v>
      </c>
      <c r="Q38" s="34" t="n">
        <v>0.329622</v>
      </c>
      <c r="R38" s="33" t="n">
        <v>17</v>
      </c>
      <c r="S38" s="34" t="n">
        <v>0.320014</v>
      </c>
      <c r="T38" s="34" t="n">
        <v>0.340195</v>
      </c>
      <c r="U38" s="34" t="n">
        <v>0.868688</v>
      </c>
      <c r="V38" s="34" t="n">
        <v>0.792751</v>
      </c>
      <c r="W38" s="33" t="n">
        <v>0.311</v>
      </c>
      <c r="X38" s="33" t="n">
        <v>131.4</v>
      </c>
      <c r="Y38" s="33" t="inlineStr">
        <is>
          <t>N</t>
        </is>
      </c>
      <c r="Z38" s="34" t="n"/>
      <c r="AA38" s="34" t="n"/>
      <c r="AB38" s="33" t="inlineStr">
        <is>
          <t>figures/clip-none-lr0.9.png</t>
        </is>
      </c>
      <c r="AC38" s="33" t="inlineStr">
        <is>
          <t>phản chứng: đổi lr so với baseline; so với dòng có clip cùng lr; peak_mem trên MPS: lấy mẫu sau forward, gồm 124 MB dữ liệu</t>
        </is>
      </c>
      <c r="AD38" s="35">
        <f>IF(P38="","",P38-LN(7))</f>
        <v>0.323150850944687</v>
      </c>
      <c r="AE38" s="35">
        <f>IF(OR(T38="",S38=""),"",T38-S38)</f>
        <v>0.020181000000000004</v>
      </c>
      <c r="AF38" s="35">
        <f>IF(OR(V38="",Seeds!$C$8=""),"",V38-Seeds!$C$8)</f>
        <v>-0.0663456</v>
      </c>
      <c r="AG38" s="35" t="str">
        <f>IF(OR(AF38="",Seeds!$C$10=""),"",IF(ABS(AF38)&gt;Seeds!$C$10,"Có","Không"))</f>
        <v>Có</v>
      </c>
    </row>
    <row r="39" ht="15" customHeight="1" s="20">
      <c r="A39" s="33" t="inlineStr">
        <is>
          <t>clip-0.35-lr0.9</t>
        </is>
      </c>
      <c r="B39" s="33" t="inlineStr">
        <is>
          <t>clipping</t>
        </is>
      </c>
      <c r="C39" s="33" t="inlineStr">
        <is>
          <t>clip c=0.35, lr ×3 = 0.9</t>
        </is>
      </c>
      <c r="D39" s="33" t="inlineStr">
        <is>
          <t>CE</t>
        </is>
      </c>
      <c r="E39" s="33" t="inlineStr">
        <is>
          <t>SGD+momentum</t>
        </is>
      </c>
      <c r="F39" s="33" t="n">
        <v>0.8999999999999999</v>
      </c>
      <c r="G39" s="33" t="n">
        <v>0</v>
      </c>
      <c r="H39" s="33" t="n">
        <v>512</v>
      </c>
      <c r="I39" s="33" t="n">
        <v>20</v>
      </c>
      <c r="J39" s="33" t="inlineStr">
        <is>
          <t>256-128</t>
        </is>
      </c>
      <c r="K39" s="33" t="n">
        <v>0</v>
      </c>
      <c r="L39" s="33" t="n">
        <v>0.35</v>
      </c>
      <c r="M39" s="33" t="inlineStr">
        <is>
          <t>fp32</t>
        </is>
      </c>
      <c r="N39" s="33" t="inlineStr">
        <is>
          <t>he</t>
        </is>
      </c>
      <c r="O39" s="33" t="n">
        <v>1</v>
      </c>
      <c r="P39" s="34" t="n">
        <v>2.269061</v>
      </c>
      <c r="Q39" s="34" t="n">
        <v>0.278462</v>
      </c>
      <c r="R39" s="33" t="n">
        <v>19</v>
      </c>
      <c r="S39" s="34" t="n">
        <v>0.255835</v>
      </c>
      <c r="T39" s="34" t="n">
        <v>0.28318</v>
      </c>
      <c r="U39" s="34" t="n">
        <v>0.8937850000000001</v>
      </c>
      <c r="V39" s="34" t="n">
        <v>0.826337</v>
      </c>
      <c r="W39" s="33" t="n">
        <v>0.324</v>
      </c>
      <c r="X39" s="33" t="n">
        <v>131.4</v>
      </c>
      <c r="Y39" s="33" t="inlineStr">
        <is>
          <t>N</t>
        </is>
      </c>
      <c r="Z39" s="34" t="n"/>
      <c r="AA39" s="34" t="n"/>
      <c r="AB39" s="33" t="inlineStr">
        <is>
          <t>figures/clip-0.35-lr0.9.png</t>
        </is>
      </c>
      <c r="AC39" s="33" t="inlineStr">
        <is>
          <t>phản chứng: đổi lr + clip so với baseline; so với dòng không clip cùng lr; peak_mem trên MPS: lấy mẫu sau forward, gồm 124 MB dữ liệu</t>
        </is>
      </c>
      <c r="AD39" s="35">
        <f>IF(P39="","",P39-LN(7))</f>
        <v>0.323150850944687</v>
      </c>
      <c r="AE39" s="35">
        <f>IF(OR(T39="",S39=""),"",T39-S39)</f>
        <v>0.027345000000000008</v>
      </c>
      <c r="AF39" s="35">
        <f>IF(OR(V39="",Seeds!$C$8=""),"",V39-Seeds!$C$8)</f>
        <v>-0.0327596</v>
      </c>
      <c r="AG39" s="35" t="str">
        <f>IF(OR(AF39="",Seeds!$C$10=""),"",IF(ABS(AF39)&gt;Seeds!$C$10,"Có","Không"))</f>
        <v>Có</v>
      </c>
    </row>
    <row r="40" ht="15" customHeight="1" s="20">
      <c r="A40" s="33" t="inlineStr">
        <is>
          <t>clip-none-lr3</t>
        </is>
      </c>
      <c r="B40" s="33" t="inlineStr">
        <is>
          <t>clipping</t>
        </is>
      </c>
      <c r="C40" s="33" t="inlineStr">
        <is>
          <t>KHÔNG clip, lr ×10 = 3</t>
        </is>
      </c>
      <c r="D40" s="33" t="inlineStr">
        <is>
          <t>CE</t>
        </is>
      </c>
      <c r="E40" s="33" t="inlineStr">
        <is>
          <t>SGD+momentum</t>
        </is>
      </c>
      <c r="F40" s="33" t="n">
        <v>3</v>
      </c>
      <c r="G40" s="33" t="n">
        <v>0</v>
      </c>
      <c r="H40" s="33" t="n">
        <v>512</v>
      </c>
      <c r="I40" s="33" t="n">
        <v>20</v>
      </c>
      <c r="J40" s="33" t="inlineStr">
        <is>
          <t>256-128</t>
        </is>
      </c>
      <c r="K40" s="33" t="n">
        <v>0</v>
      </c>
      <c r="L40" s="33" t="inlineStr">
        <is>
          <t>none</t>
        </is>
      </c>
      <c r="M40" s="33" t="inlineStr">
        <is>
          <t>fp32</t>
        </is>
      </c>
      <c r="N40" s="33" t="inlineStr">
        <is>
          <t>he</t>
        </is>
      </c>
      <c r="O40" s="33" t="n">
        <v>1</v>
      </c>
      <c r="P40" s="34" t="n">
        <v>2.269061</v>
      </c>
      <c r="Q40" s="34" t="n">
        <v>1.207175</v>
      </c>
      <c r="R40" s="33" t="n">
        <v>19</v>
      </c>
      <c r="S40" s="34" t="n">
        <v>1.210364</v>
      </c>
      <c r="T40" s="34" t="n">
        <v>1.210365</v>
      </c>
      <c r="U40" s="34" t="n">
        <v>0.487597</v>
      </c>
      <c r="V40" s="34" t="n">
        <v>0.09365</v>
      </c>
      <c r="W40" s="33" t="n">
        <v>0.309</v>
      </c>
      <c r="X40" s="33" t="n">
        <v>131.4</v>
      </c>
      <c r="Y40" s="33" t="inlineStr">
        <is>
          <t>N</t>
        </is>
      </c>
      <c r="Z40" s="34" t="n"/>
      <c r="AA40" s="34" t="n"/>
      <c r="AB40" s="33" t="inlineStr">
        <is>
          <t>figures/clip-none-lr3.png</t>
        </is>
      </c>
      <c r="AC40" s="33" t="inlineStr">
        <is>
          <t>phản chứng: đổi lr so với baseline; so với dòng có clip cùng lr; peak_mem trên MPS: lấy mẫu sau forward, gồm 124 MB dữ liệu</t>
        </is>
      </c>
      <c r="AD40" s="35">
        <f>IF(P40="","",P40-LN(7))</f>
        <v>0.323150850944687</v>
      </c>
      <c r="AE40" s="35">
        <f>IF(OR(T40="",S40=""),"",T40-S40)</f>
        <v>9.999999999177334e-07</v>
      </c>
      <c r="AF40" s="35">
        <f>IF(OR(V40="",Seeds!$C$8=""),"",V40-Seeds!$C$8)</f>
        <v>-0.7654466</v>
      </c>
      <c r="AG40" s="35" t="str">
        <f>IF(OR(AF40="",Seeds!$C$10=""),"",IF(ABS(AF40)&gt;Seeds!$C$10,"Có","Không"))</f>
        <v>Có</v>
      </c>
    </row>
    <row r="41" ht="15" customHeight="1" s="20">
      <c r="A41" s="33" t="inlineStr">
        <is>
          <t>clip-0.35-lr3</t>
        </is>
      </c>
      <c r="B41" s="33" t="inlineStr">
        <is>
          <t>clipping</t>
        </is>
      </c>
      <c r="C41" s="33" t="inlineStr">
        <is>
          <t>clip c=0.35, lr ×10 = 3</t>
        </is>
      </c>
      <c r="D41" s="33" t="inlineStr">
        <is>
          <t>CE</t>
        </is>
      </c>
      <c r="E41" s="33" t="inlineStr">
        <is>
          <t>SGD+momentum</t>
        </is>
      </c>
      <c r="F41" s="33" t="n">
        <v>3</v>
      </c>
      <c r="G41" s="33" t="n">
        <v>0</v>
      </c>
      <c r="H41" s="33" t="n">
        <v>512</v>
      </c>
      <c r="I41" s="33" t="n">
        <v>20</v>
      </c>
      <c r="J41" s="33" t="inlineStr">
        <is>
          <t>256-128</t>
        </is>
      </c>
      <c r="K41" s="33" t="n">
        <v>0</v>
      </c>
      <c r="L41" s="33" t="n">
        <v>0.35</v>
      </c>
      <c r="M41" s="33" t="inlineStr">
        <is>
          <t>fp32</t>
        </is>
      </c>
      <c r="N41" s="33" t="inlineStr">
        <is>
          <t>he</t>
        </is>
      </c>
      <c r="O41" s="33" t="n">
        <v>1</v>
      </c>
      <c r="P41" s="34" t="n">
        <v>2.269061</v>
      </c>
      <c r="Q41" s="34" t="n">
        <v>0.955063</v>
      </c>
      <c r="R41" s="33" t="n">
        <v>3</v>
      </c>
      <c r="S41" s="34" t="n">
        <v>0.974139</v>
      </c>
      <c r="T41" s="34" t="n">
        <v>0.973094</v>
      </c>
      <c r="U41" s="34" t="n">
        <v>0.5249239999999999</v>
      </c>
      <c r="V41" s="34" t="n">
        <v>0.19307</v>
      </c>
      <c r="W41" s="33" t="n">
        <v>0.326</v>
      </c>
      <c r="X41" s="33" t="n">
        <v>131.4</v>
      </c>
      <c r="Y41" s="33" t="inlineStr">
        <is>
          <t>N</t>
        </is>
      </c>
      <c r="Z41" s="34" t="n"/>
      <c r="AA41" s="34" t="n"/>
      <c r="AB41" s="33" t="inlineStr">
        <is>
          <t>figures/clip-0.35-lr3.png</t>
        </is>
      </c>
      <c r="AC41" s="33" t="inlineStr">
        <is>
          <t>phản chứng: đổi lr + clip so với baseline; so với dòng không clip cùng lr; peak_mem trên MPS: lấy mẫu sau forward, gồm 124 MB dữ liệu</t>
        </is>
      </c>
      <c r="AD41" s="35">
        <f>IF(P41="","",P41-LN(7))</f>
        <v>0.323150850944687</v>
      </c>
      <c r="AE41" s="35">
        <f>IF(OR(T41="",S41=""),"",T41-S41)</f>
        <v>-0.0010449999999999626</v>
      </c>
      <c r="AF41" s="35">
        <f>IF(OR(V41="",Seeds!$C$8=""),"",V41-Seeds!$C$8)</f>
        <v>-0.6660266</v>
      </c>
      <c r="AG41" s="35" t="str">
        <f>IF(OR(AF41="",Seeds!$C$10=""),"",IF(ABS(AF41)&gt;Seeds!$C$10,"Có","Không"))</f>
        <v>Có</v>
      </c>
    </row>
    <row r="42" ht="15" customHeight="1" s="20">
      <c r="A42" s="33" t="inlineStr">
        <is>
          <t>amp-fp16</t>
        </is>
      </c>
      <c r="B42" s="33" t="inlineStr">
        <is>
          <t>amp</t>
        </is>
      </c>
      <c r="C42" s="33" t="inlineStr">
        <is>
          <t>autocast FP16 + GradScaler</t>
        </is>
      </c>
      <c r="D42" s="33" t="inlineStr">
        <is>
          <t>CE</t>
        </is>
      </c>
      <c r="E42" s="33" t="inlineStr">
        <is>
          <t>SGD+momentum</t>
        </is>
      </c>
      <c r="F42" s="33" t="n">
        <v>0.3</v>
      </c>
      <c r="G42" s="33" t="n">
        <v>0</v>
      </c>
      <c r="H42" s="33" t="n">
        <v>512</v>
      </c>
      <c r="I42" s="33" t="n">
        <v>20</v>
      </c>
      <c r="J42" s="33" t="inlineStr">
        <is>
          <t>256-128</t>
        </is>
      </c>
      <c r="K42" s="33" t="n">
        <v>0</v>
      </c>
      <c r="L42" s="33" t="inlineStr">
        <is>
          <t>none</t>
        </is>
      </c>
      <c r="M42" s="33" t="inlineStr">
        <is>
          <t>fp16</t>
        </is>
      </c>
      <c r="N42" s="33" t="inlineStr">
        <is>
          <t>he</t>
        </is>
      </c>
      <c r="O42" s="33" t="n">
        <v>1</v>
      </c>
      <c r="P42" s="34" t="n">
        <v>2.269061</v>
      </c>
      <c r="Q42" s="34" t="n">
        <v>0.230917</v>
      </c>
      <c r="R42" s="33" t="n">
        <v>15</v>
      </c>
      <c r="S42" s="34" t="n">
        <v>0.209636</v>
      </c>
      <c r="T42" s="34" t="n">
        <v>0.235655</v>
      </c>
      <c r="U42" s="34" t="n">
        <v>0.907683</v>
      </c>
      <c r="V42" s="34" t="n">
        <v>0.8466630000000001</v>
      </c>
      <c r="W42" s="33" t="n">
        <v>0.643</v>
      </c>
      <c r="X42" s="33" t="n">
        <v>131.2</v>
      </c>
      <c r="Y42" s="33" t="inlineStr">
        <is>
          <t>N</t>
        </is>
      </c>
      <c r="Z42" s="34" t="n"/>
      <c r="AA42" s="34" t="n"/>
      <c r="AB42" s="33" t="inlineStr">
        <is>
          <t>figures/amp-fp16.png</t>
        </is>
      </c>
      <c r="AC42" s="33" t="inlineStr">
        <is>
          <t>peak_mem trên MPS: lấy mẫu sau forward, gồm 124 MB dữ liệu</t>
        </is>
      </c>
      <c r="AD42" s="35">
        <f>IF(P42="","",P42-LN(7))</f>
        <v>0.323150850944687</v>
      </c>
      <c r="AE42" s="35">
        <f>IF(OR(T42="",S42=""),"",T42-S42)</f>
        <v>0.026019000000000014</v>
      </c>
      <c r="AF42" s="35">
        <f>IF(OR(V42="",Seeds!$C$8=""),"",V42-Seeds!$C$8)</f>
        <v>-0.012433599999999934</v>
      </c>
      <c r="AG42" s="35" t="str">
        <f>IF(OR(AF42="",Seeds!$C$10=""),"",IF(ABS(AF42)&gt;Seeds!$C$10,"Có","Không"))</f>
        <v>Không</v>
      </c>
    </row>
    <row r="43" ht="15" customHeight="1" s="20">
      <c r="A43" s="33" t="inlineStr">
        <is>
          <t>amp-bf16</t>
        </is>
      </c>
      <c r="B43" s="33" t="inlineStr">
        <is>
          <t>amp</t>
        </is>
      </c>
      <c r="C43" s="33" t="inlineStr">
        <is>
          <t>autocast BF16</t>
        </is>
      </c>
      <c r="D43" s="33" t="inlineStr">
        <is>
          <t>CE</t>
        </is>
      </c>
      <c r="E43" s="33" t="inlineStr">
        <is>
          <t>SGD+momentum</t>
        </is>
      </c>
      <c r="F43" s="33" t="n">
        <v>0.3</v>
      </c>
      <c r="G43" s="33" t="n">
        <v>0</v>
      </c>
      <c r="H43" s="33" t="n">
        <v>512</v>
      </c>
      <c r="I43" s="33" t="n">
        <v>20</v>
      </c>
      <c r="J43" s="33" t="inlineStr">
        <is>
          <t>256-128</t>
        </is>
      </c>
      <c r="K43" s="33" t="n">
        <v>0</v>
      </c>
      <c r="L43" s="33" t="inlineStr">
        <is>
          <t>none</t>
        </is>
      </c>
      <c r="M43" s="33" t="inlineStr">
        <is>
          <t>bf16</t>
        </is>
      </c>
      <c r="N43" s="33" t="inlineStr">
        <is>
          <t>he</t>
        </is>
      </c>
      <c r="O43" s="33" t="n">
        <v>1</v>
      </c>
      <c r="P43" s="34" t="n">
        <v>2.269061</v>
      </c>
      <c r="Q43" s="34" t="n">
        <v>0.219489</v>
      </c>
      <c r="R43" s="33" t="n">
        <v>19</v>
      </c>
      <c r="S43" s="34" t="n">
        <v>0.199696</v>
      </c>
      <c r="T43" s="34" t="n">
        <v>0.224835</v>
      </c>
      <c r="U43" s="34" t="n">
        <v>0.912168</v>
      </c>
      <c r="V43" s="34" t="n">
        <v>0.856622</v>
      </c>
      <c r="W43" s="33" t="n">
        <v>0.352</v>
      </c>
      <c r="X43" s="33" t="n">
        <v>131.2</v>
      </c>
      <c r="Y43" s="33" t="inlineStr">
        <is>
          <t>N</t>
        </is>
      </c>
      <c r="Z43" s="34" t="n"/>
      <c r="AA43" s="34" t="n"/>
      <c r="AB43" s="33" t="inlineStr">
        <is>
          <t>figures/amp-bf16.png</t>
        </is>
      </c>
      <c r="AC43" s="33" t="inlineStr">
        <is>
          <t>peak_mem trên MPS: lấy mẫu sau forward, gồm 124 MB dữ liệu</t>
        </is>
      </c>
      <c r="AD43" s="35">
        <f>IF(P43="","",P43-LN(7))</f>
        <v>0.323150850944687</v>
      </c>
      <c r="AE43" s="35">
        <f>IF(OR(T43="",S43=""),"",T43-S43)</f>
        <v>0.025138999999999995</v>
      </c>
      <c r="AF43" s="35">
        <f>IF(OR(V43="",Seeds!$C$8=""),"",V43-Seeds!$C$8)</f>
        <v>-0.0024745999999999935</v>
      </c>
      <c r="AG43" s="35" t="str">
        <f>IF(OR(AF43="",Seeds!$C$10=""),"",IF(ABS(AF43)&gt;Seeds!$C$10,"Có","Không"))</f>
        <v>Không</v>
      </c>
    </row>
    <row r="44" ht="15" customHeight="1" s="20">
      <c r="A44" s="33" t="inlineStr">
        <is>
          <t>amp-xwide-fp32</t>
        </is>
      </c>
      <c r="B44" s="33" t="inlineStr">
        <is>
          <t>amp</t>
        </is>
      </c>
      <c r="C44" s="33" t="inlineStr">
        <is>
          <t>M-xwide 2048-2048, FP32, 5 epoch (đo tốc độ)</t>
        </is>
      </c>
      <c r="D44" s="33" t="inlineStr">
        <is>
          <t>CE</t>
        </is>
      </c>
      <c r="E44" s="33" t="inlineStr">
        <is>
          <t>SGD+momentum</t>
        </is>
      </c>
      <c r="F44" s="33" t="n">
        <v>0.3</v>
      </c>
      <c r="G44" s="33" t="n">
        <v>0</v>
      </c>
      <c r="H44" s="33" t="n">
        <v>512</v>
      </c>
      <c r="I44" s="33" t="n">
        <v>5</v>
      </c>
      <c r="J44" s="33" t="inlineStr">
        <is>
          <t>2048-2048</t>
        </is>
      </c>
      <c r="K44" s="33" t="n">
        <v>0</v>
      </c>
      <c r="L44" s="33" t="inlineStr">
        <is>
          <t>none</t>
        </is>
      </c>
      <c r="M44" s="33" t="inlineStr">
        <is>
          <t>fp32</t>
        </is>
      </c>
      <c r="N44" s="33" t="inlineStr">
        <is>
          <t>he</t>
        </is>
      </c>
      <c r="O44" s="33" t="n">
        <v>1</v>
      </c>
      <c r="P44" s="34" t="n">
        <v>2.241772</v>
      </c>
      <c r="Q44" s="34" t="n">
        <v>0.246449</v>
      </c>
      <c r="R44" s="33" t="n">
        <v>5</v>
      </c>
      <c r="S44" s="34" t="n">
        <v>0.231638</v>
      </c>
      <c r="T44" s="34" t="n">
        <v>0.246449</v>
      </c>
      <c r="U44" s="34" t="n">
        <v>0.898324</v>
      </c>
      <c r="V44" s="34" t="n">
        <v>0.831335</v>
      </c>
      <c r="W44" s="33" t="n">
        <v>7.55</v>
      </c>
      <c r="X44" s="33" t="n">
        <v>187.6</v>
      </c>
      <c r="Y44" s="33" t="inlineStr">
        <is>
          <t>N</t>
        </is>
      </c>
      <c r="Z44" s="34" t="n"/>
      <c r="AA44" s="34" t="n"/>
      <c r="AB44" s="33" t="inlineStr">
        <is>
          <t>figures/amp-xwide-fp32.png</t>
        </is>
      </c>
      <c r="AC44" s="33" t="inlineStr">
        <is>
          <t>kiến trúc 2048-2048 ngoài bảng quy định + 5 epoch: chỉ để đo tốc độ AMP; chỉ so trong nhóm amp-xwide-*; peak_mem trên MPS: lấy mẫu sau forward, gồm 124 MB dữ liệu</t>
        </is>
      </c>
      <c r="AD44" s="35">
        <f>IF(P44="","",P44-LN(7))</f>
        <v>0.29586185094468687</v>
      </c>
      <c r="AE44" s="35">
        <f>IF(OR(T44="",S44=""),"",T44-S44)</f>
        <v>0.01481099999999999</v>
      </c>
      <c r="AF44" s="35">
        <f>IF(OR(V44="",Seeds!$C$8=""),"",V44-Seeds!$C$8)</f>
        <v>-0.027761599999999942</v>
      </c>
      <c r="AG44" s="35" t="str">
        <f>IF(OR(AF44="",Seeds!$C$10=""),"",IF(ABS(AF44)&gt;Seeds!$C$10,"Có","Không"))</f>
        <v>Có</v>
      </c>
    </row>
    <row r="45" ht="15" customHeight="1" s="20">
      <c r="A45" s="33" t="inlineStr">
        <is>
          <t>amp-xwide-fp16</t>
        </is>
      </c>
      <c r="B45" s="33" t="inlineStr">
        <is>
          <t>amp</t>
        </is>
      </c>
      <c r="C45" s="33" t="inlineStr">
        <is>
          <t>M-xwide 2048-2048, FP16, 5 epoch (đo tốc độ)</t>
        </is>
      </c>
      <c r="D45" s="33" t="inlineStr">
        <is>
          <t>CE</t>
        </is>
      </c>
      <c r="E45" s="33" t="inlineStr">
        <is>
          <t>SGD+momentum</t>
        </is>
      </c>
      <c r="F45" s="33" t="n">
        <v>0.3</v>
      </c>
      <c r="G45" s="33" t="n">
        <v>0</v>
      </c>
      <c r="H45" s="33" t="n">
        <v>512</v>
      </c>
      <c r="I45" s="33" t="n">
        <v>5</v>
      </c>
      <c r="J45" s="33" t="inlineStr">
        <is>
          <t>2048-2048</t>
        </is>
      </c>
      <c r="K45" s="33" t="n">
        <v>0</v>
      </c>
      <c r="L45" s="33" t="inlineStr">
        <is>
          <t>none</t>
        </is>
      </c>
      <c r="M45" s="33" t="inlineStr">
        <is>
          <t>fp16</t>
        </is>
      </c>
      <c r="N45" s="33" t="inlineStr">
        <is>
          <t>he</t>
        </is>
      </c>
      <c r="O45" s="33" t="n">
        <v>1</v>
      </c>
      <c r="P45" s="34" t="n">
        <v>2.241772</v>
      </c>
      <c r="Q45" s="34" t="n">
        <v>0.253267</v>
      </c>
      <c r="R45" s="33" t="n">
        <v>5</v>
      </c>
      <c r="S45" s="34" t="n">
        <v>0.236538</v>
      </c>
      <c r="T45" s="34" t="n">
        <v>0.253267</v>
      </c>
      <c r="U45" s="34" t="n">
        <v>0.895075</v>
      </c>
      <c r="V45" s="34" t="n">
        <v>0.826633</v>
      </c>
      <c r="W45" s="33" t="n">
        <v>7.542</v>
      </c>
      <c r="X45" s="33" t="n">
        <v>192.7</v>
      </c>
      <c r="Y45" s="33" t="inlineStr">
        <is>
          <t>N</t>
        </is>
      </c>
      <c r="Z45" s="34" t="n"/>
      <c r="AA45" s="34" t="n"/>
      <c r="AB45" s="33" t="inlineStr">
        <is>
          <t>figures/amp-xwide-fp16.png</t>
        </is>
      </c>
      <c r="AC45" s="33" t="inlineStr">
        <is>
          <t>kiến trúc 2048-2048 ngoài bảng quy định + 5 epoch: chỉ để đo tốc độ AMP; chỉ so trong nhóm amp-xwide-*; peak_mem trên MPS: lấy mẫu sau forward, gồm 124 MB dữ liệu</t>
        </is>
      </c>
      <c r="AD45" s="35">
        <f>IF(P45="","",P45-LN(7))</f>
        <v>0.29586185094468687</v>
      </c>
      <c r="AE45" s="35">
        <f>IF(OR(T45="",S45=""),"",T45-S45)</f>
        <v>0.01672900000000002</v>
      </c>
      <c r="AF45" s="35">
        <f>IF(OR(V45="",Seeds!$C$8=""),"",V45-Seeds!$C$8)</f>
        <v>-0.03246360000000004</v>
      </c>
      <c r="AG45" s="35" t="str">
        <f>IF(OR(AF45="",Seeds!$C$10=""),"",IF(ABS(AF45)&gt;Seeds!$C$10,"Có","Không"))</f>
        <v>Có</v>
      </c>
    </row>
    <row r="46" ht="15" customHeight="1" s="20">
      <c r="A46" s="33" t="inlineStr">
        <is>
          <t>amp-xwide-bf16</t>
        </is>
      </c>
      <c r="B46" s="33" t="inlineStr">
        <is>
          <t>amp</t>
        </is>
      </c>
      <c r="C46" s="33" t="inlineStr">
        <is>
          <t>M-xwide 2048-2048, BF16, 5 epoch (đo tốc độ)</t>
        </is>
      </c>
      <c r="D46" s="33" t="inlineStr">
        <is>
          <t>CE</t>
        </is>
      </c>
      <c r="E46" s="33" t="inlineStr">
        <is>
          <t>SGD+momentum</t>
        </is>
      </c>
      <c r="F46" s="33" t="n">
        <v>0.3</v>
      </c>
      <c r="G46" s="33" t="n">
        <v>0</v>
      </c>
      <c r="H46" s="33" t="n">
        <v>512</v>
      </c>
      <c r="I46" s="33" t="n">
        <v>5</v>
      </c>
      <c r="J46" s="33" t="inlineStr">
        <is>
          <t>2048-2048</t>
        </is>
      </c>
      <c r="K46" s="33" t="n">
        <v>0</v>
      </c>
      <c r="L46" s="33" t="inlineStr">
        <is>
          <t>none</t>
        </is>
      </c>
      <c r="M46" s="33" t="inlineStr">
        <is>
          <t>bf16</t>
        </is>
      </c>
      <c r="N46" s="33" t="inlineStr">
        <is>
          <t>he</t>
        </is>
      </c>
      <c r="O46" s="33" t="n">
        <v>1</v>
      </c>
      <c r="P46" s="34" t="n">
        <v>2.241772</v>
      </c>
      <c r="Q46" s="34" t="n">
        <v>0.24926</v>
      </c>
      <c r="R46" s="33" t="n">
        <v>5</v>
      </c>
      <c r="S46" s="34" t="n">
        <v>0.231485</v>
      </c>
      <c r="T46" s="34" t="n">
        <v>0.24926</v>
      </c>
      <c r="U46" s="34" t="n">
        <v>0.897711</v>
      </c>
      <c r="V46" s="34" t="n">
        <v>0.83446</v>
      </c>
      <c r="W46" s="33" t="n">
        <v>5.205</v>
      </c>
      <c r="X46" s="33" t="n">
        <v>192.7</v>
      </c>
      <c r="Y46" s="33" t="inlineStr">
        <is>
          <t>N</t>
        </is>
      </c>
      <c r="Z46" s="34" t="n"/>
      <c r="AA46" s="34" t="n"/>
      <c r="AB46" s="33" t="inlineStr">
        <is>
          <t>figures/amp-xwide-bf16.png</t>
        </is>
      </c>
      <c r="AC46" s="33" t="inlineStr">
        <is>
          <t>kiến trúc 2048-2048 ngoài bảng quy định + 5 epoch: chỉ để đo tốc độ AMP; chỉ so trong nhóm amp-xwide-*; peak_mem trên MPS: lấy mẫu sau forward, gồm 124 MB dữ liệu</t>
        </is>
      </c>
      <c r="AD46" s="35">
        <f>IF(P46="","",P46-LN(7))</f>
        <v>0.29586185094468687</v>
      </c>
      <c r="AE46" s="35">
        <f>IF(OR(T46="",S46=""),"",T46-S46)</f>
        <v>0.017775000000000013</v>
      </c>
      <c r="AF46" s="35">
        <f>IF(OR(V46="",Seeds!$C$8=""),"",V46-Seeds!$C$8)</f>
        <v>-0.02463660000000001</v>
      </c>
      <c r="AG46" s="35" t="str">
        <f>IF(OR(AF46="",Seeds!$C$10=""),"",IF(ABS(AF46)&gt;Seeds!$C$10,"Có","Không"))</f>
        <v>Có</v>
      </c>
    </row>
    <row r="47" ht="15" customHeight="1" s="20">
      <c r="A47" s="33" t="inlineStr">
        <is>
          <t>init-zeros</t>
        </is>
      </c>
      <c r="B47" s="33" t="inlineStr">
        <is>
          <t>init</t>
        </is>
      </c>
      <c r="C47" s="33" t="inlineStr">
        <is>
          <t>khởi tạo zeros</t>
        </is>
      </c>
      <c r="D47" s="33" t="inlineStr">
        <is>
          <t>CE</t>
        </is>
      </c>
      <c r="E47" s="33" t="inlineStr">
        <is>
          <t>SGD+momentum</t>
        </is>
      </c>
      <c r="F47" s="33" t="n">
        <v>0.3</v>
      </c>
      <c r="G47" s="33" t="n">
        <v>0</v>
      </c>
      <c r="H47" s="33" t="n">
        <v>512</v>
      </c>
      <c r="I47" s="33" t="n">
        <v>20</v>
      </c>
      <c r="J47" s="33" t="inlineStr">
        <is>
          <t>256-128</t>
        </is>
      </c>
      <c r="K47" s="33" t="n">
        <v>0</v>
      </c>
      <c r="L47" s="33" t="inlineStr">
        <is>
          <t>none</t>
        </is>
      </c>
      <c r="M47" s="33" t="inlineStr">
        <is>
          <t>fp32</t>
        </is>
      </c>
      <c r="N47" s="33" t="inlineStr">
        <is>
          <t>zeros</t>
        </is>
      </c>
      <c r="O47" s="33" t="n">
        <v>1</v>
      </c>
      <c r="P47" s="34" t="n">
        <v>1.94591</v>
      </c>
      <c r="Q47" s="34" t="n">
        <v>1.205244</v>
      </c>
      <c r="R47" s="33" t="n">
        <v>9</v>
      </c>
      <c r="S47" s="34" t="n">
        <v>1.206727</v>
      </c>
      <c r="T47" s="34" t="n">
        <v>1.206728</v>
      </c>
      <c r="U47" s="34" t="n">
        <v>0.487597</v>
      </c>
      <c r="V47" s="34" t="n">
        <v>0.09365</v>
      </c>
      <c r="W47" s="33" t="n">
        <v>0.318</v>
      </c>
      <c r="X47" s="33" t="n">
        <v>131.9</v>
      </c>
      <c r="Y47" s="33" t="inlineStr">
        <is>
          <t>N</t>
        </is>
      </c>
      <c r="Z47" s="34" t="n"/>
      <c r="AA47" s="34" t="n"/>
      <c r="AB47" s="33" t="inlineStr">
        <is>
          <t>figures/init-zeros.png</t>
        </is>
      </c>
      <c r="AC47" s="33" t="inlineStr">
        <is>
          <t>peak_mem trên MPS: lấy mẫu sau forward, gồm 124 MB dữ liệu</t>
        </is>
      </c>
      <c r="AD47" s="35">
        <f>IF(P47="","",P47-LN(7))</f>
        <v>-1.4905531320330567e-07</v>
      </c>
      <c r="AE47" s="35">
        <f>IF(OR(T47="",S47=""),"",T47-S47)</f>
        <v>9.999999999177334e-07</v>
      </c>
      <c r="AF47" s="35">
        <f>IF(OR(V47="",Seeds!$C$8=""),"",V47-Seeds!$C$8)</f>
        <v>-0.7654466</v>
      </c>
      <c r="AG47" s="35" t="str">
        <f>IF(OR(AF47="",Seeds!$C$10=""),"",IF(ABS(AF47)&gt;Seeds!$C$10,"Có","Không"))</f>
        <v>Có</v>
      </c>
    </row>
    <row r="48" ht="15" customHeight="1" s="20">
      <c r="A48" s="33" t="inlineStr">
        <is>
          <t>init-normal</t>
        </is>
      </c>
      <c r="B48" s="33" t="inlineStr">
        <is>
          <t>init</t>
        </is>
      </c>
      <c r="C48" s="33" t="inlineStr">
        <is>
          <t>khởi tạo normal</t>
        </is>
      </c>
      <c r="D48" s="33" t="inlineStr">
        <is>
          <t>CE</t>
        </is>
      </c>
      <c r="E48" s="33" t="inlineStr">
        <is>
          <t>SGD+momentum</t>
        </is>
      </c>
      <c r="F48" s="33" t="n">
        <v>0.3</v>
      </c>
      <c r="G48" s="33" t="n">
        <v>0</v>
      </c>
      <c r="H48" s="33" t="n">
        <v>512</v>
      </c>
      <c r="I48" s="33" t="n">
        <v>20</v>
      </c>
      <c r="J48" s="33" t="inlineStr">
        <is>
          <t>256-128</t>
        </is>
      </c>
      <c r="K48" s="33" t="n">
        <v>0</v>
      </c>
      <c r="L48" s="33" t="inlineStr">
        <is>
          <t>none</t>
        </is>
      </c>
      <c r="M48" s="33" t="inlineStr">
        <is>
          <t>fp32</t>
        </is>
      </c>
      <c r="N48" s="33" t="inlineStr">
        <is>
          <t>normal</t>
        </is>
      </c>
      <c r="O48" s="33" t="n">
        <v>1</v>
      </c>
      <c r="P48" s="34" t="n">
        <v>1.945996</v>
      </c>
      <c r="Q48" s="34" t="n">
        <v>0.214766</v>
      </c>
      <c r="R48" s="33" t="n">
        <v>18</v>
      </c>
      <c r="S48" s="34" t="n">
        <v>0.188859</v>
      </c>
      <c r="T48" s="34" t="n">
        <v>0.215358</v>
      </c>
      <c r="U48" s="34" t="n">
        <v>0.915299</v>
      </c>
      <c r="V48" s="34" t="n">
        <v>0.86533</v>
      </c>
      <c r="W48" s="33" t="n">
        <v>0.315</v>
      </c>
      <c r="X48" s="33" t="n">
        <v>131.9</v>
      </c>
      <c r="Y48" s="33" t="inlineStr">
        <is>
          <t>N</t>
        </is>
      </c>
      <c r="Z48" s="34" t="n"/>
      <c r="AA48" s="34" t="n"/>
      <c r="AB48" s="33" t="inlineStr">
        <is>
          <t>figures/init-normal.png</t>
        </is>
      </c>
      <c r="AC48" s="33" t="inlineStr">
        <is>
          <t>peak_mem trên MPS: lấy mẫu sau forward, gồm 124 MB dữ liệu</t>
        </is>
      </c>
      <c r="AD48" s="35">
        <f>IF(P48="","",P48-LN(7))</f>
        <v>8.585094468682719e-05</v>
      </c>
      <c r="AE48" s="35">
        <f>IF(OR(T48="",S48=""),"",T48-S48)</f>
        <v>0.026498999999999995</v>
      </c>
      <c r="AF48" s="35">
        <f>IF(OR(V48="",Seeds!$C$8=""),"",V48-Seeds!$C$8)</f>
        <v>0.0062334000000000556</v>
      </c>
      <c r="AG48" s="35" t="str">
        <f>IF(OR(AF48="",Seeds!$C$10=""),"",IF(ABS(AF48)&gt;Seeds!$C$10,"Có","Không"))</f>
        <v>Không</v>
      </c>
    </row>
    <row r="49" ht="15" customHeight="1" s="20">
      <c r="A49" s="33" t="inlineStr">
        <is>
          <t>init-xavier</t>
        </is>
      </c>
      <c r="B49" s="33" t="inlineStr">
        <is>
          <t>init</t>
        </is>
      </c>
      <c r="C49" s="33" t="inlineStr">
        <is>
          <t>khởi tạo xavier</t>
        </is>
      </c>
      <c r="D49" s="33" t="inlineStr">
        <is>
          <t>CE</t>
        </is>
      </c>
      <c r="E49" s="33" t="inlineStr">
        <is>
          <t>SGD+momentum</t>
        </is>
      </c>
      <c r="F49" s="33" t="n">
        <v>0.3</v>
      </c>
      <c r="G49" s="33" t="n">
        <v>0</v>
      </c>
      <c r="H49" s="33" t="n">
        <v>512</v>
      </c>
      <c r="I49" s="33" t="n">
        <v>20</v>
      </c>
      <c r="J49" s="33" t="inlineStr">
        <is>
          <t>256-128</t>
        </is>
      </c>
      <c r="K49" s="33" t="n">
        <v>0</v>
      </c>
      <c r="L49" s="33" t="inlineStr">
        <is>
          <t>none</t>
        </is>
      </c>
      <c r="M49" s="33" t="inlineStr">
        <is>
          <t>fp32</t>
        </is>
      </c>
      <c r="N49" s="33" t="inlineStr">
        <is>
          <t>xavier</t>
        </is>
      </c>
      <c r="O49" s="33" t="n">
        <v>1</v>
      </c>
      <c r="P49" s="34" t="n">
        <v>2.022176</v>
      </c>
      <c r="Q49" s="34" t="n">
        <v>0.218668</v>
      </c>
      <c r="R49" s="33" t="n">
        <v>20</v>
      </c>
      <c r="S49" s="34" t="n">
        <v>0.194143</v>
      </c>
      <c r="T49" s="34" t="n">
        <v>0.218668</v>
      </c>
      <c r="U49" s="34" t="n">
        <v>0.912351</v>
      </c>
      <c r="V49" s="34" t="n">
        <v>0.853421</v>
      </c>
      <c r="W49" s="33" t="n">
        <v>0.321</v>
      </c>
      <c r="X49" s="33" t="n">
        <v>131.9</v>
      </c>
      <c r="Y49" s="33" t="inlineStr">
        <is>
          <t>N</t>
        </is>
      </c>
      <c r="Z49" s="34" t="n"/>
      <c r="AA49" s="34" t="n"/>
      <c r="AB49" s="33" t="inlineStr">
        <is>
          <t>figures/init-xavier.png</t>
        </is>
      </c>
      <c r="AC49" s="33" t="inlineStr">
        <is>
          <t>peak_mem trên MPS: lấy mẫu sau forward, gồm 124 MB dữ liệu</t>
        </is>
      </c>
      <c r="AD49" s="35">
        <f>IF(P49="","",P49-LN(7))</f>
        <v>0.07626585094468674</v>
      </c>
      <c r="AE49" s="35">
        <f>IF(OR(T49="",S49=""),"",T49-S49)</f>
        <v>0.02452499999999999</v>
      </c>
      <c r="AF49" s="35">
        <f>IF(OR(V49="",Seeds!$C$8=""),"",V49-Seeds!$C$8)</f>
        <v>-0.005675600000000003</v>
      </c>
      <c r="AG49" s="35" t="str">
        <f>IF(OR(AF49="",Seeds!$C$10=""),"",IF(ABS(AF49)&gt;Seeds!$C$10,"Có","Không"))</f>
        <v>Không</v>
      </c>
    </row>
    <row r="50" ht="15" customHeight="1" s="20">
      <c r="A50" s="33" t="inlineStr">
        <is>
          <t>init-default</t>
        </is>
      </c>
      <c r="B50" s="33" t="inlineStr">
        <is>
          <t>init</t>
        </is>
      </c>
      <c r="C50" s="33" t="inlineStr">
        <is>
          <t>khởi tạo default (mặc định nn.Linear, không phải He)</t>
        </is>
      </c>
      <c r="D50" s="33" t="inlineStr">
        <is>
          <t>CE</t>
        </is>
      </c>
      <c r="E50" s="33" t="inlineStr">
        <is>
          <t>SGD+momentum</t>
        </is>
      </c>
      <c r="F50" s="33" t="n">
        <v>0.3</v>
      </c>
      <c r="G50" s="33" t="n">
        <v>0</v>
      </c>
      <c r="H50" s="33" t="n">
        <v>512</v>
      </c>
      <c r="I50" s="33" t="n">
        <v>20</v>
      </c>
      <c r="J50" s="33" t="inlineStr">
        <is>
          <t>256-128</t>
        </is>
      </c>
      <c r="K50" s="33" t="n">
        <v>0</v>
      </c>
      <c r="L50" s="33" t="inlineStr">
        <is>
          <t>none</t>
        </is>
      </c>
      <c r="M50" s="33" t="inlineStr">
        <is>
          <t>fp32</t>
        </is>
      </c>
      <c r="N50" s="33" t="inlineStr">
        <is>
          <t>default</t>
        </is>
      </c>
      <c r="O50" s="33" t="n">
        <v>1</v>
      </c>
      <c r="P50" s="34" t="n">
        <v>1.983036</v>
      </c>
      <c r="Q50" s="34" t="n">
        <v>0.220598</v>
      </c>
      <c r="R50" s="33" t="n">
        <v>20</v>
      </c>
      <c r="S50" s="34" t="n">
        <v>0.196118</v>
      </c>
      <c r="T50" s="34" t="n">
        <v>0.220598</v>
      </c>
      <c r="U50" s="34" t="n">
        <v>0.912717</v>
      </c>
      <c r="V50" s="34" t="n">
        <v>0.863808</v>
      </c>
      <c r="W50" s="33" t="n">
        <v>0.319</v>
      </c>
      <c r="X50" s="33" t="n">
        <v>131.9</v>
      </c>
      <c r="Y50" s="33" t="inlineStr">
        <is>
          <t>N</t>
        </is>
      </c>
      <c r="Z50" s="34" t="n"/>
      <c r="AA50" s="34" t="n"/>
      <c r="AB50" s="33" t="inlineStr">
        <is>
          <t>figures/init-default.png</t>
        </is>
      </c>
      <c r="AC50" s="33" t="inlineStr">
        <is>
          <t>peak_mem trên MPS: lấy mẫu sau forward, gồm 124 MB dữ liệu</t>
        </is>
      </c>
      <c r="AD50" s="35">
        <f>IF(P50="","",P50-LN(7))</f>
        <v>0.03712585094468679</v>
      </c>
      <c r="AE50" s="35">
        <f>IF(OR(T50="",S50=""),"",T50-S50)</f>
        <v>0.024480000000000002</v>
      </c>
      <c r="AF50" s="35">
        <f>IF(OR(V50="",Seeds!$C$8=""),"",V50-Seeds!$C$8)</f>
        <v>0.004711400000000032</v>
      </c>
      <c r="AG50" s="35" t="str">
        <f>IF(OR(AF50="",Seeds!$C$10=""),"",IF(ABS(AF50)&gt;Seeds!$C$10,"Có","Không"))</f>
        <v>Không</v>
      </c>
    </row>
    <row r="51" ht="15" customHeight="1" s="20">
      <c r="A51" s="33" t="inlineStr">
        <is>
          <t>final-s1</t>
        </is>
      </c>
      <c r="B51" s="33" t="inlineStr">
        <is>
          <t>final</t>
        </is>
      </c>
      <c r="C51" s="33" t="inlineStr">
        <is>
          <t>Cấu hình cuối: bộ tối ưu: opt-adam-lr0.003 (val F1 0.8719); lịch lr cosine (hp-cosine val F1 0.8885); seed 1</t>
        </is>
      </c>
      <c r="D51" s="33" t="inlineStr">
        <is>
          <t>CE</t>
        </is>
      </c>
      <c r="E51" s="33" t="inlineStr">
        <is>
          <t>Adam</t>
        </is>
      </c>
      <c r="F51" s="33" t="n">
        <v>0.003</v>
      </c>
      <c r="G51" s="33" t="n">
        <v>0</v>
      </c>
      <c r="H51" s="33" t="n">
        <v>512</v>
      </c>
      <c r="I51" s="33" t="n">
        <v>20</v>
      </c>
      <c r="J51" s="33" t="inlineStr">
        <is>
          <t>256-128</t>
        </is>
      </c>
      <c r="K51" s="33" t="n">
        <v>0</v>
      </c>
      <c r="L51" s="33" t="inlineStr">
        <is>
          <t>none</t>
        </is>
      </c>
      <c r="M51" s="33" t="inlineStr">
        <is>
          <t>fp32</t>
        </is>
      </c>
      <c r="N51" s="33" t="inlineStr">
        <is>
          <t>he</t>
        </is>
      </c>
      <c r="O51" s="33" t="n">
        <v>1</v>
      </c>
      <c r="P51" s="34" t="n">
        <v>2.269061</v>
      </c>
      <c r="Q51" s="34" t="n">
        <v>0.191205</v>
      </c>
      <c r="R51" s="33" t="n">
        <v>20</v>
      </c>
      <c r="S51" s="34" t="n">
        <v>0.165771</v>
      </c>
      <c r="T51" s="34" t="n">
        <v>0.191205</v>
      </c>
      <c r="U51" s="34" t="n">
        <v>0.925357</v>
      </c>
      <c r="V51" s="34" t="n">
        <v>0.883867</v>
      </c>
      <c r="W51" s="33" t="n">
        <v>0.494</v>
      </c>
      <c r="X51" s="33" t="n">
        <v>132.1</v>
      </c>
      <c r="Y51" s="33" t="inlineStr">
        <is>
          <t>N</t>
        </is>
      </c>
      <c r="Z51" s="34" t="n">
        <v>0.92378</v>
      </c>
      <c r="AA51" s="34" t="n">
        <v>0.886767</v>
      </c>
      <c r="AB51" s="33" t="inlineStr">
        <is>
          <t>figures/final-s1.png</t>
        </is>
      </c>
      <c r="AC51" s="33" t="inlineStr">
        <is>
          <t>nộp seed 1 (cố định trước); scheduler=cosine; peak_mem trên MPS: lấy mẫu sau forward, gồm 124 MB dữ liệu</t>
        </is>
      </c>
      <c r="AD51" s="35">
        <f>IF(P51="","",P51-LN(7))</f>
        <v>0.323150850944687</v>
      </c>
      <c r="AE51" s="35">
        <f>IF(OR(T51="",S51=""),"",T51-S51)</f>
        <v>0.025434000000000012</v>
      </c>
      <c r="AF51" s="35">
        <f>IF(OR(V51="",Seeds!$C$8=""),"",V51-Seeds!$C$8)</f>
        <v>0.02477039999999997</v>
      </c>
      <c r="AG51" s="35" t="str">
        <f>IF(OR(AF51="",Seeds!$C$10=""),"",IF(ABS(AF51)&gt;Seeds!$C$10,"Có","Không"))</f>
        <v>Có</v>
      </c>
    </row>
    <row r="52" ht="15" customHeight="1" s="20">
      <c r="A52" s="33" t="inlineStr">
        <is>
          <t>final-s2</t>
        </is>
      </c>
      <c r="B52" s="33" t="inlineStr">
        <is>
          <t>final</t>
        </is>
      </c>
      <c r="C52" s="33" t="inlineStr">
        <is>
          <t>Cấu hình cuối: bộ tối ưu: opt-adam-lr0.003 (val F1 0.8719); lịch lr cosine (hp-cosine val F1 0.8885); seed 2</t>
        </is>
      </c>
      <c r="D52" s="33" t="inlineStr">
        <is>
          <t>CE</t>
        </is>
      </c>
      <c r="E52" s="33" t="inlineStr">
        <is>
          <t>Adam</t>
        </is>
      </c>
      <c r="F52" s="33" t="n">
        <v>0.003</v>
      </c>
      <c r="G52" s="33" t="n">
        <v>0</v>
      </c>
      <c r="H52" s="33" t="n">
        <v>512</v>
      </c>
      <c r="I52" s="33" t="n">
        <v>20</v>
      </c>
      <c r="J52" s="33" t="inlineStr">
        <is>
          <t>256-128</t>
        </is>
      </c>
      <c r="K52" s="33" t="n">
        <v>0</v>
      </c>
      <c r="L52" s="33" t="inlineStr">
        <is>
          <t>none</t>
        </is>
      </c>
      <c r="M52" s="33" t="inlineStr">
        <is>
          <t>fp32</t>
        </is>
      </c>
      <c r="N52" s="33" t="inlineStr">
        <is>
          <t>he</t>
        </is>
      </c>
      <c r="O52" s="33" t="n">
        <v>2</v>
      </c>
      <c r="P52" s="34" t="n">
        <v>1.978157</v>
      </c>
      <c r="Q52" s="34" t="n">
        <v>0.19238</v>
      </c>
      <c r="R52" s="33" t="n">
        <v>20</v>
      </c>
      <c r="S52" s="34" t="n">
        <v>0.16694</v>
      </c>
      <c r="T52" s="34" t="n">
        <v>0.19238</v>
      </c>
      <c r="U52" s="34" t="n">
        <v>0.923937</v>
      </c>
      <c r="V52" s="34" t="n">
        <v>0.886599</v>
      </c>
      <c r="W52" s="33" t="n">
        <v>0.498</v>
      </c>
      <c r="X52" s="33" t="n">
        <v>132.1</v>
      </c>
      <c r="Y52" s="33" t="inlineStr">
        <is>
          <t>N</t>
        </is>
      </c>
      <c r="Z52" s="34" t="n"/>
      <c r="AA52" s="34" t="n"/>
      <c r="AB52" s="33" t="inlineStr">
        <is>
          <t>figures/final-s2.png</t>
        </is>
      </c>
      <c r="AC52" s="33" t="inlineStr">
        <is>
          <t>scheduler=cosine; peak_mem trên MPS: lấy mẫu sau forward, gồm 124 MB dữ liệu</t>
        </is>
      </c>
      <c r="AD52" s="35">
        <f>IF(P52="","",P52-LN(7))</f>
        <v>0.03224685094468671</v>
      </c>
      <c r="AE52" s="35">
        <f>IF(OR(T52="",S52=""),"",T52-S52)</f>
        <v>0.02543999999999999</v>
      </c>
      <c r="AF52" s="35">
        <f>IF(OR(V52="",Seeds!$C$8=""),"",V52-Seeds!$C$8)</f>
        <v>0.027502400000000038</v>
      </c>
      <c r="AG52" s="35" t="str">
        <f>IF(OR(AF52="",Seeds!$C$10=""),"",IF(ABS(AF52)&gt;Seeds!$C$10,"Có","Không"))</f>
        <v>Có</v>
      </c>
    </row>
    <row r="53" ht="15" customHeight="1" s="20">
      <c r="A53" s="33" t="inlineStr">
        <is>
          <t>final-s3</t>
        </is>
      </c>
      <c r="B53" s="33" t="inlineStr">
        <is>
          <t>final</t>
        </is>
      </c>
      <c r="C53" s="33" t="inlineStr">
        <is>
          <t>Cấu hình cuối: bộ tối ưu: opt-adam-lr0.003 (val F1 0.8719); lịch lr cosine (hp-cosine val F1 0.8885); seed 3</t>
        </is>
      </c>
      <c r="D53" s="33" t="inlineStr">
        <is>
          <t>CE</t>
        </is>
      </c>
      <c r="E53" s="33" t="inlineStr">
        <is>
          <t>Adam</t>
        </is>
      </c>
      <c r="F53" s="33" t="n">
        <v>0.003</v>
      </c>
      <c r="G53" s="33" t="n">
        <v>0</v>
      </c>
      <c r="H53" s="33" t="n">
        <v>512</v>
      </c>
      <c r="I53" s="33" t="n">
        <v>20</v>
      </c>
      <c r="J53" s="33" t="inlineStr">
        <is>
          <t>256-128</t>
        </is>
      </c>
      <c r="K53" s="33" t="n">
        <v>0</v>
      </c>
      <c r="L53" s="33" t="inlineStr">
        <is>
          <t>none</t>
        </is>
      </c>
      <c r="M53" s="33" t="inlineStr">
        <is>
          <t>fp32</t>
        </is>
      </c>
      <c r="N53" s="33" t="inlineStr">
        <is>
          <t>he</t>
        </is>
      </c>
      <c r="O53" s="33" t="n">
        <v>3</v>
      </c>
      <c r="P53" s="34" t="n">
        <v>1.90054</v>
      </c>
      <c r="Q53" s="34" t="n">
        <v>0.19126</v>
      </c>
      <c r="R53" s="33" t="n">
        <v>20</v>
      </c>
      <c r="S53" s="34" t="n">
        <v>0.165641</v>
      </c>
      <c r="T53" s="34" t="n">
        <v>0.19126</v>
      </c>
      <c r="U53" s="34" t="n">
        <v>0.924442</v>
      </c>
      <c r="V53" s="34" t="n">
        <v>0.886198</v>
      </c>
      <c r="W53" s="33" t="n">
        <v>0.497</v>
      </c>
      <c r="X53" s="33" t="n">
        <v>132.1</v>
      </c>
      <c r="Y53" s="33" t="inlineStr">
        <is>
          <t>N</t>
        </is>
      </c>
      <c r="Z53" s="34" t="n"/>
      <c r="AA53" s="34" t="n"/>
      <c r="AB53" s="33" t="inlineStr">
        <is>
          <t>figures/final-s3.png</t>
        </is>
      </c>
      <c r="AC53" s="33" t="inlineStr">
        <is>
          <t>scheduler=cosine; peak_mem trên MPS: lấy mẫu sau forward, gồm 124 MB dữ liệu</t>
        </is>
      </c>
      <c r="AD53" s="35">
        <f>IF(P53="","",P53-LN(7))</f>
        <v>-0.045370149055313336</v>
      </c>
      <c r="AE53" s="35">
        <f>IF(OR(T53="",S53=""),"",T53-S53)</f>
        <v>0.025619000000000003</v>
      </c>
      <c r="AF53" s="35">
        <f>IF(OR(V53="",Seeds!$C$8=""),"",V53-Seeds!$C$8)</f>
        <v>0.027101400000000053</v>
      </c>
      <c r="AG53" s="35" t="str">
        <f>IF(OR(AF53="",Seeds!$C$10=""),"",IF(ABS(AF53)&gt;Seeds!$C$10,"Có","Không"))</f>
        <v>Có</v>
      </c>
    </row>
    <row r="54" ht="15" customHeight="1" s="20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4" t="n"/>
      <c r="Q54" s="34" t="n"/>
      <c r="R54" s="33" t="n"/>
      <c r="S54" s="34" t="n"/>
      <c r="T54" s="34" t="n"/>
      <c r="U54" s="34" t="n"/>
      <c r="V54" s="34" t="n"/>
      <c r="W54" s="33" t="n"/>
      <c r="X54" s="33" t="n"/>
      <c r="Y54" s="33" t="n"/>
      <c r="Z54" s="34" t="n"/>
      <c r="AA54" s="34" t="n"/>
      <c r="AB54" s="33" t="n"/>
      <c r="AC54" s="33" t="n"/>
      <c r="AD54" s="35" t="str">
        <f>IF(P54="","",P54-LN(7))</f>
        <v/>
      </c>
      <c r="AE54" s="35" t="str">
        <f>IF(OR(T54="",S54=""),"",T54-S54)</f>
        <v/>
      </c>
      <c r="AF54" s="35" t="str">
        <f>IF(OR(V54="",Seeds!$C$8=""),"",V54-Seeds!$C$8)</f>
        <v/>
      </c>
      <c r="AG54" s="35" t="str">
        <f>IF(OR(AF54="",Seeds!$C$10=""),"",IF(ABS(AF54)&gt;Seeds!$C$10,"Có","Không"))</f>
        <v/>
      </c>
    </row>
    <row r="55" ht="15" customHeight="1" s="20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4" t="n"/>
      <c r="Q55" s="34" t="n"/>
      <c r="R55" s="33" t="n"/>
      <c r="S55" s="34" t="n"/>
      <c r="T55" s="34" t="n"/>
      <c r="U55" s="34" t="n"/>
      <c r="V55" s="34" t="n"/>
      <c r="W55" s="33" t="n"/>
      <c r="X55" s="33" t="n"/>
      <c r="Y55" s="33" t="n"/>
      <c r="Z55" s="34" t="n"/>
      <c r="AA55" s="34" t="n"/>
      <c r="AB55" s="33" t="n"/>
      <c r="AC55" s="33" t="n"/>
      <c r="AD55" s="35" t="str">
        <f>IF(P55="","",P55-LN(7))</f>
        <v/>
      </c>
      <c r="AE55" s="35" t="str">
        <f>IF(OR(T55="",S55=""),"",T55-S55)</f>
        <v/>
      </c>
      <c r="AF55" s="35" t="str">
        <f>IF(OR(V55="",Seeds!$C$8=""),"",V55-Seeds!$C$8)</f>
        <v/>
      </c>
      <c r="AG55" s="35" t="str">
        <f>IF(OR(AF55="",Seeds!$C$10=""),"",IF(ABS(AF55)&gt;Seeds!$C$10,"Có","Không"))</f>
        <v/>
      </c>
    </row>
    <row r="56" ht="15" customHeight="1" s="20">
      <c r="A56" s="33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4" t="n"/>
      <c r="Q56" s="34" t="n"/>
      <c r="R56" s="33" t="n"/>
      <c r="S56" s="34" t="n"/>
      <c r="T56" s="34" t="n"/>
      <c r="U56" s="34" t="n"/>
      <c r="V56" s="34" t="n"/>
      <c r="W56" s="33" t="n"/>
      <c r="X56" s="33" t="n"/>
      <c r="Y56" s="33" t="n"/>
      <c r="Z56" s="34" t="n"/>
      <c r="AA56" s="34" t="n"/>
      <c r="AB56" s="33" t="n"/>
      <c r="AC56" s="33" t="n"/>
      <c r="AD56" s="35" t="str">
        <f>IF(P56="","",P56-LN(7))</f>
        <v/>
      </c>
      <c r="AE56" s="35" t="str">
        <f>IF(OR(T56="",S56=""),"",T56-S56)</f>
        <v/>
      </c>
      <c r="AF56" s="35" t="str">
        <f>IF(OR(V56="",Seeds!$C$8=""),"",V56-Seeds!$C$8)</f>
        <v/>
      </c>
      <c r="AG56" s="35" t="str">
        <f>IF(OR(AF56="",Seeds!$C$10=""),"",IF(ABS(AF56)&gt;Seeds!$C$10,"Có","Không"))</f>
        <v/>
      </c>
    </row>
    <row r="57" ht="15" customHeight="1" s="20">
      <c r="A57" s="33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4" t="n"/>
      <c r="Q57" s="34" t="n"/>
      <c r="R57" s="33" t="n"/>
      <c r="S57" s="34" t="n"/>
      <c r="T57" s="34" t="n"/>
      <c r="U57" s="34" t="n"/>
      <c r="V57" s="34" t="n"/>
      <c r="W57" s="33" t="n"/>
      <c r="X57" s="33" t="n"/>
      <c r="Y57" s="33" t="n"/>
      <c r="Z57" s="34" t="n"/>
      <c r="AA57" s="34" t="n"/>
      <c r="AB57" s="33" t="n"/>
      <c r="AC57" s="33" t="n"/>
      <c r="AD57" s="35" t="str">
        <f>IF(P57="","",P57-LN(7))</f>
        <v/>
      </c>
      <c r="AE57" s="35" t="str">
        <f>IF(OR(T57="",S57=""),"",T57-S57)</f>
        <v/>
      </c>
      <c r="AF57" s="35" t="str">
        <f>IF(OR(V57="",Seeds!$C$8=""),"",V57-Seeds!$C$8)</f>
        <v/>
      </c>
      <c r="AG57" s="35" t="str">
        <f>IF(OR(AF57="",Seeds!$C$10=""),"",IF(ABS(AF57)&gt;Seeds!$C$10,"Có","Không"))</f>
        <v/>
      </c>
    </row>
    <row r="58" ht="15" customHeight="1" s="20">
      <c r="A58" s="33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4" t="n"/>
      <c r="Q58" s="34" t="n"/>
      <c r="R58" s="33" t="n"/>
      <c r="S58" s="34" t="n"/>
      <c r="T58" s="34" t="n"/>
      <c r="U58" s="34" t="n"/>
      <c r="V58" s="34" t="n"/>
      <c r="W58" s="33" t="n"/>
      <c r="X58" s="33" t="n"/>
      <c r="Y58" s="33" t="n"/>
      <c r="Z58" s="34" t="n"/>
      <c r="AA58" s="34" t="n"/>
      <c r="AB58" s="33" t="n"/>
      <c r="AC58" s="33" t="n"/>
      <c r="AD58" s="35" t="str">
        <f>IF(P58="","",P58-LN(7))</f>
        <v/>
      </c>
      <c r="AE58" s="35" t="str">
        <f>IF(OR(T58="",S58=""),"",T58-S58)</f>
        <v/>
      </c>
      <c r="AF58" s="35" t="str">
        <f>IF(OR(V58="",Seeds!$C$8=""),"",V58-Seeds!$C$8)</f>
        <v/>
      </c>
      <c r="AG58" s="35" t="str">
        <f>IF(OR(AF58="",Seeds!$C$10=""),"",IF(ABS(AF58)&gt;Seeds!$C$10,"Có","Không"))</f>
        <v/>
      </c>
    </row>
    <row r="59" ht="15" customHeight="1" s="20">
      <c r="A59" s="33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4" t="n"/>
      <c r="Q59" s="34" t="n"/>
      <c r="R59" s="33" t="n"/>
      <c r="S59" s="34" t="n"/>
      <c r="T59" s="34" t="n"/>
      <c r="U59" s="34" t="n"/>
      <c r="V59" s="34" t="n"/>
      <c r="W59" s="33" t="n"/>
      <c r="X59" s="33" t="n"/>
      <c r="Y59" s="33" t="n"/>
      <c r="Z59" s="34" t="n"/>
      <c r="AA59" s="34" t="n"/>
      <c r="AB59" s="33" t="n"/>
      <c r="AC59" s="33" t="n"/>
      <c r="AD59" s="35" t="str">
        <f>IF(P59="","",P59-LN(7))</f>
        <v/>
      </c>
      <c r="AE59" s="35" t="str">
        <f>IF(OR(T59="",S59=""),"",T59-S59)</f>
        <v/>
      </c>
      <c r="AF59" s="35" t="str">
        <f>IF(OR(V59="",Seeds!$C$8=""),"",V59-Seeds!$C$8)</f>
        <v/>
      </c>
      <c r="AG59" s="35" t="str">
        <f>IF(OR(AF59="",Seeds!$C$10=""),"",IF(ABS(AF59)&gt;Seeds!$C$10,"Có","Không"))</f>
        <v/>
      </c>
    </row>
    <row r="60" ht="15" customHeight="1" s="2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4" t="n"/>
      <c r="Q60" s="34" t="n"/>
      <c r="R60" s="33" t="n"/>
      <c r="S60" s="34" t="n"/>
      <c r="T60" s="34" t="n"/>
      <c r="U60" s="34" t="n"/>
      <c r="V60" s="34" t="n"/>
      <c r="W60" s="33" t="n"/>
      <c r="X60" s="33" t="n"/>
      <c r="Y60" s="33" t="n"/>
      <c r="Z60" s="34" t="n"/>
      <c r="AA60" s="34" t="n"/>
      <c r="AB60" s="33" t="n"/>
      <c r="AC60" s="33" t="n"/>
      <c r="AD60" s="35" t="str">
        <f>IF(P60="","",P60-LN(7))</f>
        <v/>
      </c>
      <c r="AE60" s="35" t="str">
        <f>IF(OR(T60="",S60=""),"",T60-S60)</f>
        <v/>
      </c>
      <c r="AF60" s="35" t="str">
        <f>IF(OR(V60="",Seeds!$C$8=""),"",V60-Seeds!$C$8)</f>
        <v/>
      </c>
      <c r="AG60" s="35" t="str">
        <f>IF(OR(AF60="",Seeds!$C$10=""),"",IF(ABS(AF60)&gt;Seeds!$C$10,"Có","Không"))</f>
        <v/>
      </c>
    </row>
    <row r="61" ht="15" customHeight="1" s="20">
      <c r="A61" s="33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4" t="n"/>
      <c r="Q61" s="34" t="n"/>
      <c r="R61" s="33" t="n"/>
      <c r="S61" s="34" t="n"/>
      <c r="T61" s="34" t="n"/>
      <c r="U61" s="34" t="n"/>
      <c r="V61" s="34" t="n"/>
      <c r="W61" s="33" t="n"/>
      <c r="X61" s="33" t="n"/>
      <c r="Y61" s="33" t="n"/>
      <c r="Z61" s="34" t="n"/>
      <c r="AA61" s="34" t="n"/>
      <c r="AB61" s="33" t="n"/>
      <c r="AC61" s="33" t="n"/>
      <c r="AD61" s="35" t="str">
        <f>IF(P61="","",P61-LN(7))</f>
        <v/>
      </c>
      <c r="AE61" s="35" t="str">
        <f>IF(OR(T61="",S61=""),"",T61-S61)</f>
        <v/>
      </c>
      <c r="AF61" s="35" t="str">
        <f>IF(OR(V61="",Seeds!$C$8=""),"",V61-Seeds!$C$8)</f>
        <v/>
      </c>
      <c r="AG61" s="35" t="str">
        <f>IF(OR(AF61="",Seeds!$C$10=""),"",IF(ABS(AF61)&gt;Seeds!$C$10,"Có","Không"))</f>
        <v/>
      </c>
    </row>
  </sheetData>
  <autoFilter ref="A1:AG61"/>
  <dataValidations count="6">
    <dataValidation sqref="B2:B61" showDropDown="0" showInputMessage="0" showErrorMessage="0" allowBlank="1" type="list" errorStyle="stop" operator="between">
      <formula1>"baseline,loss,optimizer,hparam,dropout,clipping,amp,init,final,other"</formula1>
      <formula2>0</formula2>
    </dataValidation>
    <dataValidation sqref="D2:D61" showDropDown="0" showInputMessage="0" showErrorMessage="0" allowBlank="1" type="list" errorStyle="stop" operator="between">
      <formula1>"CE,MSE"</formula1>
      <formula2>0</formula2>
    </dataValidation>
    <dataValidation sqref="E2:E61" showDropDown="0" showInputMessage="0" showErrorMessage="0" allowBlank="1" type="list" errorStyle="stop" operator="between">
      <formula1>"SGD,SGD+momentum,Adam,AdamW"</formula1>
      <formula2>0</formula2>
    </dataValidation>
    <dataValidation sqref="M2:M61" showDropDown="0" showInputMessage="0" showErrorMessage="0" allowBlank="1" type="list" errorStyle="stop" operator="between">
      <formula1>"fp32,fp16,bf16"</formula1>
      <formula2>0</formula2>
    </dataValidation>
    <dataValidation sqref="N2:N61" showDropDown="0" showInputMessage="0" showErrorMessage="0" allowBlank="1" type="list" errorStyle="stop" operator="between">
      <formula1>"zeros,normal,xavier,he,default"</formula1>
      <formula2>0</formula2>
    </dataValidation>
    <dataValidation sqref="Y2:Y61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9" min="1" max="1"/>
    <col width="16" customWidth="1" style="19" min="2" max="4"/>
  </cols>
  <sheetData>
    <row r="1" ht="30" customHeight="1" s="20">
      <c r="A1" s="27" t="inlineStr">
        <is>
          <t>exp_id baseline (nhập)</t>
        </is>
      </c>
      <c r="B1" s="27" t="inlineStr">
        <is>
          <t>val_acc</t>
        </is>
      </c>
      <c r="C1" s="27" t="inlineStr">
        <is>
          <t>val_macro_f1</t>
        </is>
      </c>
      <c r="D1" s="27" t="inlineStr">
        <is>
          <t>best_val_loss</t>
        </is>
      </c>
    </row>
    <row r="2" ht="15" customHeight="1" s="20">
      <c r="A2" s="32" t="inlineStr">
        <is>
          <t>base-s1</t>
        </is>
      </c>
      <c r="B2" s="35">
        <f>IF($A2="","",IFERROR(IF(INDEX(Experiments!$U$2:$U$61,MATCH($A2,Experiments!$A$2:$A$61,0))="","",INDEX(Experiments!$U$2:$U$61,MATCH($A2,Experiments!$A$2:$A$61,0))),""))</f>
        <v>0.909759</v>
      </c>
      <c r="C2" s="35">
        <f>IF($A2="","",IFERROR(IF(INDEX(Experiments!$V$2:$V$61,MATCH($A2,Experiments!$A$2:$A$61,0))="","",INDEX(Experiments!$V$2:$V$61,MATCH($A2,Experiments!$A$2:$A$61,0))),""))</f>
        <v>0.857084</v>
      </c>
      <c r="D2" s="35">
        <f>IF($A2="","",IFERROR(IF(INDEX(Experiments!$Q$2:$Q$61,MATCH($A2,Experiments!$A$2:$A$61,0))="","",INDEX(Experiments!$Q$2:$Q$61,MATCH($A2,Experiments!$A$2:$A$61,0))),""))</f>
        <v>0.226118</v>
      </c>
    </row>
    <row r="3" ht="15" customHeight="1" s="20">
      <c r="A3" s="32" t="inlineStr">
        <is>
          <t>base-s2</t>
        </is>
      </c>
      <c r="B3" s="35">
        <f>IF($A3="","",IFERROR(IF(INDEX(Experiments!$U$2:$U$61,MATCH($A3,Experiments!$A$2:$A$61,0))="","",INDEX(Experiments!$U$2:$U$61,MATCH($A3,Experiments!$A$2:$A$61,0))),""))</f>
        <v>0.915589</v>
      </c>
      <c r="C3" s="35">
        <f>IF($A3="","",IFERROR(IF(INDEX(Experiments!$V$2:$V$61,MATCH($A3,Experiments!$A$2:$A$61,0))="","",INDEX(Experiments!$V$2:$V$61,MATCH($A3,Experiments!$A$2:$A$61,0))),""))</f>
        <v>0.870422</v>
      </c>
      <c r="D3" s="35">
        <f>IF($A3="","",IFERROR(IF(INDEX(Experiments!$Q$2:$Q$61,MATCH($A3,Experiments!$A$2:$A$61,0))="","",INDEX(Experiments!$Q$2:$Q$61,MATCH($A3,Experiments!$A$2:$A$61,0))),""))</f>
        <v>0.21069</v>
      </c>
    </row>
    <row r="4" ht="15" customHeight="1" s="20">
      <c r="A4" s="32" t="inlineStr">
        <is>
          <t>base-s3</t>
        </is>
      </c>
      <c r="B4" s="35">
        <f>IF($A4="","",IFERROR(IF(INDEX(Experiments!$U$2:$U$61,MATCH($A4,Experiments!$A$2:$A$61,0))="","",INDEX(Experiments!$U$2:$U$61,MATCH($A4,Experiments!$A$2:$A$61,0))),""))</f>
        <v>0.914352</v>
      </c>
      <c r="C4" s="35">
        <f>IF($A4="","",IFERROR(IF(INDEX(Experiments!$V$2:$V$61,MATCH($A4,Experiments!$A$2:$A$61,0))="","",INDEX(Experiments!$V$2:$V$61,MATCH($A4,Experiments!$A$2:$A$61,0))),""))</f>
        <v>0.867749</v>
      </c>
      <c r="D4" s="35">
        <f>IF($A4="","",IFERROR(IF(INDEX(Experiments!$Q$2:$Q$61,MATCH($A4,Experiments!$A$2:$A$61,0))="","",INDEX(Experiments!$Q$2:$Q$61,MATCH($A4,Experiments!$A$2:$A$61,0))),""))</f>
        <v>0.218344</v>
      </c>
    </row>
    <row r="5" ht="15" customHeight="1" s="20">
      <c r="A5" s="33" t="inlineStr">
        <is>
          <t>base-s4</t>
        </is>
      </c>
      <c r="B5" s="35">
        <f>IF($A5="","",IFERROR(IF(INDEX(Experiments!$U$2:$U$61,MATCH($A5,Experiments!$A$2:$A$61,0))="","",INDEX(Experiments!$U$2:$U$61,MATCH($A5,Experiments!$A$2:$A$61,0))),""))</f>
        <v>0.910996</v>
      </c>
      <c r="C5" s="35">
        <f>IF($A5="","",IFERROR(IF(INDEX(Experiments!$V$2:$V$61,MATCH($A5,Experiments!$A$2:$A$61,0))="","",INDEX(Experiments!$V$2:$V$61,MATCH($A5,Experiments!$A$2:$A$61,0))),""))</f>
        <v>0.854699</v>
      </c>
      <c r="D5" s="35">
        <f>IF($A5="","",IFERROR(IF(INDEX(Experiments!$Q$2:$Q$61,MATCH($A5,Experiments!$A$2:$A$61,0))="","",INDEX(Experiments!$Q$2:$Q$61,MATCH($A5,Experiments!$A$2:$A$61,0))),""))</f>
        <v>0.222024</v>
      </c>
    </row>
    <row r="6" ht="15" customHeight="1" s="20">
      <c r="A6" s="33" t="inlineStr">
        <is>
          <t>base-s5</t>
        </is>
      </c>
      <c r="B6" s="35">
        <f>IF($A6="","",IFERROR(IF(INDEX(Experiments!$U$2:$U$61,MATCH($A6,Experiments!$A$2:$A$61,0))="","",INDEX(Experiments!$U$2:$U$61,MATCH($A6,Experiments!$A$2:$A$61,0))),""))</f>
        <v>0.910544</v>
      </c>
      <c r="C6" s="35">
        <f>IF($A6="","",IFERROR(IF(INDEX(Experiments!$V$2:$V$61,MATCH($A6,Experiments!$A$2:$A$61,0))="","",INDEX(Experiments!$V$2:$V$61,MATCH($A6,Experiments!$A$2:$A$61,0))),""))</f>
        <v>0.845529</v>
      </c>
      <c r="D6" s="35">
        <f>IF($A6="","",IFERROR(IF(INDEX(Experiments!$Q$2:$Q$61,MATCH($A6,Experiments!$A$2:$A$61,0))="","",INDEX(Experiments!$Q$2:$Q$61,MATCH($A6,Experiments!$A$2:$A$61,0))),""))</f>
        <v>0.226701</v>
      </c>
    </row>
    <row r="8" ht="15" customHeight="1" s="20">
      <c r="A8" s="36" t="inlineStr">
        <is>
          <t>mean</t>
        </is>
      </c>
      <c r="B8" s="35">
        <f>IF(COUNT(B2:B6)=0,"",AVERAGE(B2:B6))</f>
        <v>0.912248</v>
      </c>
      <c r="C8" s="35">
        <f>IF(COUNT(C2:C6)=0,"",AVERAGE(C2:C6))</f>
        <v>0.8590966</v>
      </c>
      <c r="D8" s="35">
        <f>IF(COUNT(D2:D6)=0,"",AVERAGE(D2:D6))</f>
        <v>0.2207754</v>
      </c>
    </row>
    <row r="9" ht="15" customHeight="1" s="20">
      <c r="A9" s="36" t="inlineStr">
        <is>
          <t>std (mẫu)</t>
        </is>
      </c>
      <c r="B9" s="35">
        <f>IF(COUNT(B2:B6)&lt;2,"",STDEV(B2:B6))</f>
        <v>0.002561998145979036</v>
      </c>
      <c r="C9" s="35">
        <f>IF(COUNT(C2:C6)&lt;2,"",STDEV(C2:C6))</f>
        <v>0.010131608031304822</v>
      </c>
      <c r="D9" s="35">
        <f>IF(COUNT(D2:D6)&lt;2,"",STDEV(D2:D6))</f>
        <v>0.00657347151815539</v>
      </c>
    </row>
    <row r="10" ht="15" customHeight="1" s="20">
      <c r="A10" s="36" t="inlineStr">
        <is>
          <t>2σ (ngưỡng nhiễu)</t>
        </is>
      </c>
      <c r="B10" s="35">
        <f>IF(B9="","",2*B9)</f>
        <v>0.005123996291958072</v>
      </c>
      <c r="C10" s="35">
        <f>IF(C9="","",2*C9)</f>
        <v>0.020263216062609644</v>
      </c>
      <c r="D10" s="35">
        <f>IF(D9="","",2*D9)</f>
        <v>0.01314694303631078</v>
      </c>
    </row>
    <row r="12" ht="15" customHeight="1" s="20">
      <c r="A12" s="22" t="inlineStr">
        <is>
          <t>Nhập exp_id của các lần chạy baseline (khác seed) ở cột A. Cần ≥ 2 seed để có σ.</t>
        </is>
      </c>
    </row>
    <row r="13" ht="15" customHeight="1" s="20">
      <c r="A13" s="22" t="inlineStr">
        <is>
          <t>Mọi chênh lệch nhỏ hơn 2σ không được coi là bằng chứng. Với ít seed, σ chỉ là ước lượng thô; nêu rõ trong báo cáo.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9" min="1" max="1"/>
    <col width="10" customWidth="1" style="19" min="2" max="2"/>
    <col width="16" customWidth="1" style="19" min="3" max="5"/>
    <col width="14" customWidth="1" style="19" min="6" max="6"/>
    <col width="16" customWidth="1" style="19" min="7" max="7"/>
    <col width="50" customWidth="1" style="19" min="8" max="8"/>
  </cols>
  <sheetData>
    <row r="1" ht="31.5" customHeight="1" s="20">
      <c r="A1" s="27" t="inlineStr">
        <is>
          <t>group</t>
        </is>
      </c>
      <c r="B1" s="27" t="inlineStr">
        <is>
          <t>số dòng</t>
        </is>
      </c>
      <c r="C1" s="27" t="inlineStr">
        <is>
          <t>đã điền val_macro_f1</t>
        </is>
      </c>
      <c r="D1" s="27" t="inlineStr">
        <is>
          <t>val_macro_f1 cao nhất</t>
        </is>
      </c>
      <c r="E1" s="27" t="inlineStr">
        <is>
          <t>val_macro_f1 thấp nhất</t>
        </is>
      </c>
      <c r="F1" s="27" t="inlineStr">
        <is>
          <t>val_acc cao nhất</t>
        </is>
      </c>
      <c r="G1" s="27" t="inlineStr">
        <is>
          <t>đã thử chủ đề này?</t>
        </is>
      </c>
      <c r="H1" s="27" t="inlineStr">
        <is>
          <t>nhận xét ngắn (bạn viết)</t>
        </is>
      </c>
    </row>
    <row r="2" ht="15" customHeight="1" s="20">
      <c r="A2" s="31" t="inlineStr">
        <is>
          <t>baseline</t>
        </is>
      </c>
      <c r="B2" s="37">
        <f>COUNTIF(Experiments!$B$2:$B$61,A2)</f>
        <v>5</v>
      </c>
      <c r="C2" s="37">
        <f>COUNTIFS(Experiments!$B$2:$B$61,A2,Experiments!$V$2:$V$61,"&lt;&gt;")</f>
        <v>5</v>
      </c>
      <c r="D2" s="35">
        <f>IF(C2=0,"",_xlfn.MAXIFS(Experiments!$V$2:$V$61,Experiments!$B$2:$B$61,A2))</f>
        <v>0.870422</v>
      </c>
      <c r="E2" s="35">
        <f>IF(C2=0,"",_xlfn.MINIFS(Experiments!$V$2:$V$61,Experiments!$B$2:$B$61,A2))</f>
        <v>0.845529</v>
      </c>
      <c r="F2" s="35">
        <f>IF(C2=0,"",_xlfn.MAXIFS(Experiments!$U$2:$U$61,Experiments!$B$2:$B$61,A2))</f>
        <v>0.915589</v>
      </c>
      <c r="G2" s="37" t="inlineStr">
        <is>
          <t>—</t>
        </is>
      </c>
      <c r="H2" s="38" t="inlineStr">
        <is>
          <t>5 seed, SGD+momentum lr=0.3: val F1 0.8591 ± 0.0101 (2σ = 0.0203); val acc 0.9122 &gt; 0.4876 (đoán đa số).</t>
        </is>
      </c>
    </row>
    <row r="3" ht="15" customHeight="1" s="20">
      <c r="A3" s="31" t="inlineStr">
        <is>
          <t>loss</t>
        </is>
      </c>
      <c r="B3" s="37">
        <f>COUNTIF(Experiments!$B$2:$B$61,A3)</f>
        <v>2</v>
      </c>
      <c r="C3" s="37">
        <f>COUNTIFS(Experiments!$B$2:$B$61,A3,Experiments!$V$2:$V$61,"&lt;&gt;")</f>
        <v>2</v>
      </c>
      <c r="D3" s="35">
        <f>IF(C3=0,"",_xlfn.MAXIFS(Experiments!$V$2:$V$61,Experiments!$B$2:$B$61,A3))</f>
        <v>0.784314</v>
      </c>
      <c r="E3" s="35">
        <f>IF(C3=0,"",_xlfn.MINIFS(Experiments!$V$2:$V$61,Experiments!$B$2:$B$61,A3))</f>
        <v>0.687851</v>
      </c>
      <c r="F3" s="35">
        <f>IF(C3=0,"",_xlfn.MAXIFS(Experiments!$U$2:$U$61,Experiments!$B$2:$B$61,A3))</f>
        <v>0.88335</v>
      </c>
      <c r="G3" s="37" t="str">
        <f>IF(C3&gt;0,"Có","Chưa")</f>
        <v>Có</v>
      </c>
      <c r="H3" s="38" t="inlineStr">
        <is>
          <t>loss-mse: F1 0.7843 (-0.0748, vượt 2σ); loss-mse-lr0.9: F1 0.6879 (-0.1712, vượt 2σ). So bằng acc/F1, không so loss.</t>
        </is>
      </c>
    </row>
    <row r="4" ht="15" customHeight="1" s="20">
      <c r="A4" s="31" t="inlineStr">
        <is>
          <t>optimizer</t>
        </is>
      </c>
      <c r="B4" s="37">
        <f>COUNTIF(Experiments!$B$2:$B$61,A4)</f>
        <v>17</v>
      </c>
      <c r="C4" s="37">
        <f>COUNTIFS(Experiments!$B$2:$B$61,A4,Experiments!$V$2:$V$61,"&lt;&gt;")</f>
        <v>17</v>
      </c>
      <c r="D4" s="35">
        <f>IF(C4=0,"",_xlfn.MAXIFS(Experiments!$V$2:$V$61,Experiments!$B$2:$B$61,A4))</f>
        <v>0.871918</v>
      </c>
      <c r="E4" s="35">
        <f>IF(C4=0,"",_xlfn.MINIFS(Experiments!$V$2:$V$61,Experiments!$B$2:$B$61,A4))</f>
        <v>0.742543</v>
      </c>
      <c r="F4" s="35">
        <f>IF(C4=0,"",_xlfn.MAXIFS(Experiments!$U$2:$U$61,Experiments!$B$2:$B$61,A4))</f>
        <v>0.916977</v>
      </c>
      <c r="G4" s="37" t="str">
        <f>IF(C4&gt;0,"Có","Chưa")</f>
        <v>Có</v>
      </c>
      <c r="H4" s="38" t="inlineStr">
        <is>
          <t>lr tốt nhất mỗi bộ: SGD+momentum lr=0.3 F1 0.8571; SGD lr=1 F1 0.8232; Adam lr=0.003 F1 0.8719; AdamW wd=0.01 lr=0.003 F1 0.8646. AdamW wd=0 trùng Adam (max|Δval_loss| 0.0e+00).</t>
        </is>
      </c>
    </row>
    <row r="5" ht="15" customHeight="1" s="20">
      <c r="A5" s="31" t="inlineStr">
        <is>
          <t>hparam</t>
        </is>
      </c>
      <c r="B5" s="37">
        <f>COUNTIF(Experiments!$B$2:$B$61,A5)</f>
        <v>8</v>
      </c>
      <c r="C5" s="37">
        <f>COUNTIFS(Experiments!$B$2:$B$61,A5,Experiments!$V$2:$V$61,"&lt;&gt;")</f>
        <v>8</v>
      </c>
      <c r="D5" s="35">
        <f>IF(C5=0,"",_xlfn.MAXIFS(Experiments!$V$2:$V$61,Experiments!$B$2:$B$61,A5))</f>
        <v>0.888532</v>
      </c>
      <c r="E5" s="35">
        <f>IF(C5=0,"",_xlfn.MINIFS(Experiments!$V$2:$V$61,Experiments!$B$2:$B$61,A5))</f>
        <v>0.707586</v>
      </c>
      <c r="F5" s="35">
        <f>IF(C5=0,"",_xlfn.MAXIFS(Experiments!$U$2:$U$61,Experiments!$B$2:$B$61,A5))</f>
        <v>0.933962</v>
      </c>
      <c r="G5" s="37" t="str">
        <f>IF(C5&gt;0,"Có","Chưa")</f>
        <v>Có</v>
      </c>
      <c r="H5" s="38" t="inlineStr">
        <is>
          <t>hp-bs128: F1 0.7958 (-0.0633, vượt 2σ); hp-bs2048: F1 0.8399 (-0.0192, trong nhiễu); hp-bs2048-lrx4-warmup: F1 0.8611 (+0.0020, trong nhiễu); hp-wide: F1 0.8736 (+0.0145, trong nhiễu); hp-deep: F1 0.8537 (-0.0054, trong nhiễu); hp-ep40: F1 0.8757 (+0.0166, trong nhiễu); hp-cosine: F1 0.8885 (+0.0294, vượt 2σ); hp-wd5e-4: F1 0.7076 (-0.1515, vượt 2σ).</t>
        </is>
      </c>
    </row>
    <row r="6" ht="15" customHeight="1" s="20">
      <c r="A6" s="31" t="inlineStr">
        <is>
          <t>dropout</t>
        </is>
      </c>
      <c r="B6" s="37">
        <f>COUNTIF(Experiments!$B$2:$B$61,A6)</f>
        <v>3</v>
      </c>
      <c r="C6" s="37">
        <f>COUNTIFS(Experiments!$B$2:$B$61,A6,Experiments!$V$2:$V$61,"&lt;&gt;")</f>
        <v>3</v>
      </c>
      <c r="D6" s="35">
        <f>IF(C6=0,"",_xlfn.MAXIFS(Experiments!$V$2:$V$61,Experiments!$B$2:$B$61,A6))</f>
        <v>0.839118</v>
      </c>
      <c r="E6" s="35">
        <f>IF(C6=0,"",_xlfn.MINIFS(Experiments!$V$2:$V$61,Experiments!$B$2:$B$61,A6))</f>
        <v>0.64755</v>
      </c>
      <c r="F6" s="35">
        <f>IF(C6=0,"",_xlfn.MAXIFS(Experiments!$U$2:$U$61,Experiments!$B$2:$B$61,A6))</f>
        <v>0.903337</v>
      </c>
      <c r="G6" s="37" t="str">
        <f>IF(C6&gt;0,"Có","Chưa")</f>
        <v>Có</v>
      </c>
      <c r="H6" s="38" t="inlineStr">
        <is>
          <t>drop-0.1: F1 0.8391 (-0.0200, trong nhiễu); drop-0.3: F1 0.7899 (-0.0692, vượt 2σ); drop-0.5: F1 0.6475 (-0.2115, vượt 2σ). Baseline chưa quá khớp.</t>
        </is>
      </c>
    </row>
    <row r="7" ht="15" customHeight="1" s="20">
      <c r="A7" s="31" t="inlineStr">
        <is>
          <t>clipping</t>
        </is>
      </c>
      <c r="B7" s="37">
        <f>COUNTIF(Experiments!$B$2:$B$61,A7)</f>
        <v>5</v>
      </c>
      <c r="C7" s="37">
        <f>COUNTIFS(Experiments!$B$2:$B$61,A7,Experiments!$V$2:$V$61,"&lt;&gt;")</f>
        <v>5</v>
      </c>
      <c r="D7" s="35">
        <f>IF(C7=0,"",_xlfn.MAXIFS(Experiments!$V$2:$V$61,Experiments!$B$2:$B$61,A7))</f>
        <v>0.86169</v>
      </c>
      <c r="E7" s="35">
        <f>IF(C7=0,"",_xlfn.MINIFS(Experiments!$V$2:$V$61,Experiments!$B$2:$B$61,A7))</f>
        <v>0.09365</v>
      </c>
      <c r="F7" s="35">
        <f>IF(C7=0,"",_xlfn.MAXIFS(Experiments!$U$2:$U$61,Experiments!$B$2:$B$61,A7))</f>
        <v>0.908425</v>
      </c>
      <c r="G7" s="37" t="str">
        <f>IF(C7&gt;0,"Có","Chưa")</f>
        <v>Có</v>
      </c>
      <c r="H7" s="38" t="inlineStr">
        <is>
          <t>c=0.35 (trung vị ‖g‖): clip-0.35: F1 0.8617 (+0.0026, trong nhiễu); lr=0.9: không clip F1 0.7928, có clip F1 0.8263; lr=3: không clip F1 0.0936, có clip F1 0.1931.</t>
        </is>
      </c>
    </row>
    <row r="8" ht="15" customHeight="1" s="20">
      <c r="A8" s="31" t="inlineStr">
        <is>
          <t>amp</t>
        </is>
      </c>
      <c r="B8" s="37">
        <f>COUNTIF(Experiments!$B$2:$B$61,A8)</f>
        <v>5</v>
      </c>
      <c r="C8" s="37">
        <f>COUNTIFS(Experiments!$B$2:$B$61,A8,Experiments!$V$2:$V$61,"&lt;&gt;")</f>
        <v>5</v>
      </c>
      <c r="D8" s="35">
        <f>IF(C8=0,"",_xlfn.MAXIFS(Experiments!$V$2:$V$61,Experiments!$B$2:$B$61,A8))</f>
        <v>0.856622</v>
      </c>
      <c r="E8" s="35">
        <f>IF(C8=0,"",_xlfn.MINIFS(Experiments!$V$2:$V$61,Experiments!$B$2:$B$61,A8))</f>
        <v>0.826633</v>
      </c>
      <c r="F8" s="35">
        <f>IF(C8=0,"",_xlfn.MAXIFS(Experiments!$U$2:$U$61,Experiments!$B$2:$B$61,A8))</f>
        <v>0.912168</v>
      </c>
      <c r="G8" s="37" t="str">
        <f>IF(C8&gt;0,"Có","Chưa")</f>
        <v>Có</v>
      </c>
      <c r="H8" s="38" t="inlineStr">
        <is>
          <t>s/epoch M-base: base-s1 0.31, amp-fp16 0.64, amp-bf16 0.35; 2048-2048: fp32 7.55, fp16 7.54, bf16 5.21. F1 M-base: base-s1 0.8571, amp-fp16 0.8467, amp-bf16 0.8566.</t>
        </is>
      </c>
    </row>
    <row r="9" ht="15" customHeight="1" s="20">
      <c r="A9" s="31" t="inlineStr">
        <is>
          <t>init</t>
        </is>
      </c>
      <c r="B9" s="37">
        <f>COUNTIF(Experiments!$B$2:$B$61,A9)</f>
        <v>4</v>
      </c>
      <c r="C9" s="37">
        <f>COUNTIFS(Experiments!$B$2:$B$61,A9,Experiments!$V$2:$V$61,"&lt;&gt;")</f>
        <v>4</v>
      </c>
      <c r="D9" s="35">
        <f>IF(C9=0,"",_xlfn.MAXIFS(Experiments!$V$2:$V$61,Experiments!$B$2:$B$61,A9))</f>
        <v>0.86533</v>
      </c>
      <c r="E9" s="35">
        <f>IF(C9=0,"",_xlfn.MINIFS(Experiments!$V$2:$V$61,Experiments!$B$2:$B$61,A9))</f>
        <v>0.09365</v>
      </c>
      <c r="F9" s="35">
        <f>IF(C9=0,"",_xlfn.MAXIFS(Experiments!$U$2:$U$61,Experiments!$B$2:$B$61,A9))</f>
        <v>0.915299</v>
      </c>
      <c r="G9" s="37" t="str">
        <f>IF(C9&gt;0,"Có","Chưa")</f>
        <v>Có</v>
      </c>
      <c r="H9" s="38" t="inlineStr">
        <is>
          <t>init-zeros: F1 0.0936 (-0.7654, vượt 2σ); init-normal: F1 0.8653 (+0.0062, trong nhiễu); init-xavier: F1 0.8534 (-0.0057, trong nhiễu); init-default: F1 0.8638 (+0.0047, trong nhiễu).</t>
        </is>
      </c>
    </row>
    <row r="10" ht="15" customHeight="1" s="20">
      <c r="A10" s="31" t="inlineStr">
        <is>
          <t>final</t>
        </is>
      </c>
      <c r="B10" s="37">
        <f>COUNTIF(Experiments!$B$2:$B$61,A10)</f>
        <v>3</v>
      </c>
      <c r="C10" s="37">
        <f>COUNTIFS(Experiments!$B$2:$B$61,A10,Experiments!$V$2:$V$61,"&lt;&gt;")</f>
        <v>3</v>
      </c>
      <c r="D10" s="35">
        <f>IF(C10=0,"",_xlfn.MAXIFS(Experiments!$V$2:$V$61,Experiments!$B$2:$B$61,A10))</f>
        <v>0.886599</v>
      </c>
      <c r="E10" s="35">
        <f>IF(C10=0,"",_xlfn.MINIFS(Experiments!$V$2:$V$61,Experiments!$B$2:$B$61,A10))</f>
        <v>0.883867</v>
      </c>
      <c r="F10" s="35">
        <f>IF(C10=0,"",_xlfn.MAXIFS(Experiments!$U$2:$U$61,Experiments!$B$2:$B$61,A10))</f>
        <v>0.925357</v>
      </c>
      <c r="G10" s="37" t="inlineStr">
        <is>
          <t>—</t>
        </is>
      </c>
      <c r="H10" s="38" t="inlineStr">
        <is>
          <t>Cấu hình cuối: bộ tối ưu: opt-adam-lr0.003 (val F1 0.8719); lịch lr cosine (hp-cosine val F1 0.8885). Val F1 3 seed 0.8856 ± 0.0015 (baseline 0.8591).</t>
        </is>
      </c>
    </row>
    <row r="11" ht="15" customHeight="1" s="20">
      <c r="A11" s="31" t="inlineStr">
        <is>
          <t>other</t>
        </is>
      </c>
      <c r="B11" s="37">
        <f>COUNTIF(Experiments!$B$2:$B$61,A11)</f>
        <v>0</v>
      </c>
      <c r="C11" s="37">
        <f>COUNTIFS(Experiments!$B$2:$B$61,A11,Experiments!$V$2:$V$61,"&lt;&gt;")</f>
        <v>0</v>
      </c>
      <c r="D11" s="35" t="str">
        <f>IF(C11=0,"",_xlfn.MAXIFS(Experiments!$V$2:$V$61,Experiments!$B$2:$B$61,A11))</f>
        <v/>
      </c>
      <c r="E11" s="35" t="str">
        <f>IF(C11=0,"",_xlfn.MINIFS(Experiments!$V$2:$V$61,Experiments!$B$2:$B$61,A11))</f>
        <v/>
      </c>
      <c r="F11" s="35" t="str">
        <f>IF(C11=0,"",_xlfn.MAXIFS(Experiments!$U$2:$U$61,Experiments!$B$2:$B$61,A11))</f>
        <v/>
      </c>
      <c r="G11" s="37" t="inlineStr">
        <is>
          <t>—</t>
        </is>
      </c>
      <c r="H11" s="38" t="n"/>
    </row>
    <row r="12"/>
    <row r="13" ht="15" customHeight="1" s="20">
      <c r="A13" s="23" t="inlineStr">
        <is>
          <t>Số chủ đề (trong 7) đã thử:</t>
        </is>
      </c>
      <c r="D13" s="23">
        <f>COUNTIF(G2:G11,"Có")</f>
        <v>7</v>
      </c>
    </row>
    <row r="14" ht="15" customHeight="1" s="20">
      <c r="A14" s="22" t="inlineStr">
        <is>
          <t>7 chủ đề: loss, optimizer, hparam, dropout, clipping, amp, init. Một chủ đề 'đã thử' khi có ≥ 1 dòng có val_macro_f1.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Part 1 — phép thử sức khoẻ (M-base)</t>
        </is>
      </c>
    </row>
    <row r="2">
      <c r="A2" s="39" t="inlineStr">
        <is>
          <t>mục</t>
        </is>
      </c>
      <c r="B2" s="39" t="inlineStr">
        <is>
          <t>giá trị</t>
        </is>
      </c>
    </row>
    <row r="3">
      <c r="A3" t="inlineStr">
        <is>
          <t>loss bước 0 trên val (He, seed 0)</t>
        </is>
      </c>
      <c r="B3" t="n">
        <v>2.207315</v>
      </c>
    </row>
    <row r="4">
      <c r="A4" t="inlineStr">
        <is>
          <t>ln 7</t>
        </is>
      </c>
      <c r="B4" t="n">
        <v>1.94591</v>
      </c>
    </row>
    <row r="5">
      <c r="A5" t="inlineStr">
        <is>
          <t>std logit bước 0 (8192 mẫu val)</t>
        </is>
      </c>
      <c r="B5" t="n">
        <v>0.603052</v>
      </c>
    </row>
    <row r="6">
      <c r="A6" t="inlineStr">
        <is>
          <t>đối chứng W3 = 0: loss bước 0</t>
        </is>
      </c>
      <c r="B6" t="n">
        <v>1.94591</v>
      </c>
    </row>
    <row r="7">
      <c r="A7" t="inlineStr">
        <is>
          <t>quá khớp 20 mẫu: loss bước đầu</t>
        </is>
      </c>
      <c r="B7" t="n">
        <v>2.198297</v>
      </c>
    </row>
    <row r="8">
      <c r="A8" t="inlineStr">
        <is>
          <t>quá khớp 20 mẫu: loss sau 500 bước</t>
        </is>
      </c>
      <c r="B8" t="n">
        <v>0</v>
      </c>
    </row>
    <row r="9">
      <c r="A9" t="inlineStr">
        <is>
          <t>‖grad‖ W1 (một lô 512 mẫu train)</t>
        </is>
      </c>
      <c r="B9" t="n">
        <v>0.454291</v>
      </c>
    </row>
    <row r="10">
      <c r="A10" t="inlineStr">
        <is>
          <t>‖grad‖ b1 (một lô 512 mẫu train)</t>
        </is>
      </c>
      <c r="B10" t="n">
        <v>0.268385</v>
      </c>
    </row>
    <row r="11">
      <c r="A11" t="inlineStr">
        <is>
          <t>‖grad‖ W2 (một lô 512 mẫu train)</t>
        </is>
      </c>
      <c r="B11" t="n">
        <v>1.756479</v>
      </c>
    </row>
    <row r="12">
      <c r="A12" t="inlineStr">
        <is>
          <t>‖grad‖ b2 (một lô 512 mẫu train)</t>
        </is>
      </c>
      <c r="B12" t="n">
        <v>0.382445</v>
      </c>
    </row>
    <row r="13">
      <c r="A13" t="inlineStr">
        <is>
          <t>‖grad‖ W3 (một lô 512 mẫu train)</t>
        </is>
      </c>
      <c r="B13" t="n">
        <v>1.938738</v>
      </c>
    </row>
    <row r="14">
      <c r="A14" t="inlineStr">
        <is>
          <t>‖grad‖ b3 (một lô 512 mẫu train)</t>
        </is>
      </c>
      <c r="B14" t="n">
        <v>0.549802</v>
      </c>
    </row>
    <row r="16">
      <c r="A16" s="39" t="inlineStr">
        <is>
          <t>3.7 — khởi tạo: std kích hoạt và loss bước 0 (M-base, 4096 mẫu val, seed 1)</t>
        </is>
      </c>
    </row>
    <row r="17">
      <c r="A17" s="39" t="inlineStr">
        <is>
          <t>init</t>
        </is>
      </c>
      <c r="B17" s="39" t="inlineStr">
        <is>
          <t>std_h1</t>
        </is>
      </c>
      <c r="C17" s="39" t="inlineStr">
        <is>
          <t>std_h2</t>
        </is>
      </c>
      <c r="D17" s="39" t="inlineStr">
        <is>
          <t>std_logit</t>
        </is>
      </c>
      <c r="E17" s="39" t="inlineStr">
        <is>
          <t>step0_loss</t>
        </is>
      </c>
    </row>
    <row r="18">
      <c r="A18" t="inlineStr">
        <is>
          <t>he</t>
        </is>
      </c>
      <c r="B18" t="n">
        <v>0.390119</v>
      </c>
      <c r="C18" t="n">
        <v>0.366127</v>
      </c>
      <c r="D18" t="n">
        <v>0.577284</v>
      </c>
      <c r="E18" t="n">
        <v>2.269061</v>
      </c>
    </row>
    <row r="19">
      <c r="A19" t="inlineStr">
        <is>
          <t>xavier</t>
        </is>
      </c>
      <c r="B19" t="n">
        <v>0.162822</v>
      </c>
      <c r="C19" t="n">
        <v>0.124768</v>
      </c>
      <c r="D19" t="n">
        <v>0.191557</v>
      </c>
      <c r="E19" t="n">
        <v>2.022176</v>
      </c>
    </row>
    <row r="20">
      <c r="A20" t="inlineStr">
        <is>
          <t>default</t>
        </is>
      </c>
      <c r="B20" t="n">
        <v>0.160285</v>
      </c>
      <c r="C20" t="n">
        <v>0.067763</v>
      </c>
      <c r="D20" t="n">
        <v>0.058508</v>
      </c>
      <c r="E20" t="n">
        <v>1.983036</v>
      </c>
    </row>
    <row r="21">
      <c r="A21" t="inlineStr">
        <is>
          <t>normal</t>
        </is>
      </c>
      <c r="B21" t="n">
        <v>0.020271</v>
      </c>
      <c r="C21" t="n">
        <v>0.002152</v>
      </c>
      <c r="D21" t="n">
        <v>0.000271</v>
      </c>
      <c r="E21" t="n">
        <v>1.945996</v>
      </c>
    </row>
    <row r="22">
      <c r="A22" t="inlineStr">
        <is>
          <t>zeros</t>
        </is>
      </c>
      <c r="B22" t="n">
        <v>0</v>
      </c>
      <c r="C22" t="n">
        <v>0</v>
      </c>
      <c r="D22" t="n">
        <v>0</v>
      </c>
      <c r="E22" t="n">
        <v>1.94591</v>
      </c>
    </row>
    <row r="24">
      <c r="A24" s="39" t="inlineStr">
        <is>
          <t>3.7 — init = zeros: ‖grad‖ bước 0 (512 mẫu train)</t>
        </is>
      </c>
    </row>
    <row r="25">
      <c r="A25" s="39" t="inlineStr">
        <is>
          <t>W1</t>
        </is>
      </c>
      <c r="B25" s="39" t="inlineStr">
        <is>
          <t>b1</t>
        </is>
      </c>
      <c r="C25" s="39" t="inlineStr">
        <is>
          <t>W2</t>
        </is>
      </c>
      <c r="D25" s="39" t="inlineStr">
        <is>
          <t>b2</t>
        </is>
      </c>
      <c r="E25" s="39" t="inlineStr">
        <is>
          <t>W3</t>
        </is>
      </c>
      <c r="F25" s="39" t="inlineStr">
        <is>
          <t>b3</t>
        </is>
      </c>
    </row>
    <row r="26">
      <c r="A26" t="n">
        <v>0</v>
      </c>
      <c r="B26" t="n">
        <v>0</v>
      </c>
      <c r="C26" t="n">
        <v>0</v>
      </c>
      <c r="D26" t="n">
        <v>0</v>
      </c>
      <c r="E26" t="n">
        <v>0</v>
      </c>
      <c r="F26" t="n">
        <v>0.496712</v>
      </c>
    </row>
    <row r="28">
      <c r="A28" s="39" t="inlineStr">
        <is>
          <t>3.7 — mạng 30 lớp × 256: std kích hoạt sau lớp 1 / 10 / 20 / 30</t>
        </is>
      </c>
    </row>
    <row r="29">
      <c r="A29" s="39" t="inlineStr">
        <is>
          <t>init</t>
        </is>
      </c>
      <c r="B29" s="39" t="inlineStr">
        <is>
          <t>lớp 1</t>
        </is>
      </c>
      <c r="C29" s="39" t="inlineStr">
        <is>
          <t>lớp 10</t>
        </is>
      </c>
      <c r="D29" s="39" t="inlineStr">
        <is>
          <t>lớp 20</t>
        </is>
      </c>
      <c r="E29" s="39" t="inlineStr">
        <is>
          <t>lớp 30</t>
        </is>
      </c>
    </row>
    <row r="30">
      <c r="A30" t="inlineStr">
        <is>
          <t>he</t>
        </is>
      </c>
      <c r="B30" t="n">
        <v>0.400502</v>
      </c>
      <c r="C30" t="n">
        <v>0.330224</v>
      </c>
      <c r="D30" t="n">
        <v>0.326708</v>
      </c>
      <c r="E30" t="n">
        <v>0.253281</v>
      </c>
    </row>
    <row r="31">
      <c r="A31" t="inlineStr">
        <is>
          <t>xavier</t>
        </is>
      </c>
      <c r="B31" t="n">
        <v>0.167156</v>
      </c>
      <c r="C31" t="n">
        <v>0.006091</v>
      </c>
      <c r="D31" t="n">
        <v>0.000188</v>
      </c>
      <c r="E31" t="n">
        <v>5e-06</v>
      </c>
    </row>
    <row r="32">
      <c r="A32" t="inlineStr">
        <is>
          <t>default</t>
        </is>
      </c>
      <c r="B32" t="n">
        <v>0.160285</v>
      </c>
      <c r="C32" t="n">
        <v>0.022589</v>
      </c>
      <c r="D32" t="n">
        <v>0.022381</v>
      </c>
      <c r="E32" t="n">
        <v>0.020861</v>
      </c>
    </row>
    <row r="33">
      <c r="A33" t="inlineStr">
        <is>
          <t>normal</t>
        </is>
      </c>
      <c r="B33" t="n">
        <v>0.020811</v>
      </c>
      <c r="C33" t="n">
        <v>0</v>
      </c>
      <c r="D33" t="n">
        <v>0</v>
      </c>
      <c r="E33" t="n">
        <v>0</v>
      </c>
    </row>
    <row r="35">
      <c r="A35" s="39" t="inlineStr">
        <is>
          <t>Part 4 — val so với eval (chỉ baseline và cấu hình cuối)</t>
        </is>
      </c>
    </row>
    <row r="36">
      <c r="A36" s="39" t="inlineStr">
        <is>
          <t>exp_id</t>
        </is>
      </c>
      <c r="B36" s="39" t="inlineStr">
        <is>
          <t>val_acc</t>
        </is>
      </c>
      <c r="C36" s="39" t="inlineStr">
        <is>
          <t>val_macro_f1</t>
        </is>
      </c>
      <c r="D36" s="39" t="inlineStr">
        <is>
          <t>eval_acc</t>
        </is>
      </c>
      <c r="E36" s="39" t="inlineStr">
        <is>
          <t>eval_macro_f1</t>
        </is>
      </c>
      <c r="F36" s="39" t="inlineStr">
        <is>
          <t>eval − val (macro-F1)</t>
        </is>
      </c>
    </row>
    <row r="37">
      <c r="A37" t="inlineStr">
        <is>
          <t>base-s1</t>
        </is>
      </c>
      <c r="B37" t="n">
        <v>0.909759</v>
      </c>
      <c r="C37" t="n">
        <v>0.857084</v>
      </c>
      <c r="D37" t="n">
        <v>0.908935</v>
      </c>
      <c r="E37" t="n">
        <v>0.85864</v>
      </c>
      <c r="F37" t="n">
        <v>0.001555</v>
      </c>
    </row>
    <row r="38">
      <c r="A38" t="inlineStr">
        <is>
          <t>final-s1</t>
        </is>
      </c>
      <c r="B38" t="n">
        <v>0.925357</v>
      </c>
      <c r="C38" t="n">
        <v>0.883867</v>
      </c>
      <c r="D38" t="n">
        <v>0.92378</v>
      </c>
      <c r="E38" t="n">
        <v>0.886767</v>
      </c>
      <c r="F38" t="n">
        <v>0.002901</v>
      </c>
    </row>
    <row r="39">
      <c r="A39" t="inlineStr">
        <is>
          <t>final-s1 − base-s1</t>
        </is>
      </c>
      <c r="B39" t="n">
        <v>0.015598</v>
      </c>
      <c r="C39" t="n">
        <v>0.026782</v>
      </c>
      <c r="D39" t="n">
        <v>0.014845</v>
      </c>
      <c r="E39" t="n">
        <v>0.028128</v>
      </c>
      <c r="F39" t="n">
        <v>0.001345</v>
      </c>
    </row>
    <row r="41">
      <c r="A41" s="39" t="inlineStr">
        <is>
          <t>4.1 — final-s1 trên eval theo lớp (baseline = base-s1)</t>
        </is>
      </c>
    </row>
    <row r="42">
      <c r="A42" s="39" t="inlineStr">
        <is>
          <t>lớp</t>
        </is>
      </c>
      <c r="B42" s="39" t="inlineStr">
        <is>
          <t>loại rừng</t>
        </is>
      </c>
      <c r="C42" s="39" t="inlineStr">
        <is>
          <t>support</t>
        </is>
      </c>
      <c r="D42" s="39" t="inlineStr">
        <is>
          <t>precision</t>
        </is>
      </c>
      <c r="E42" s="39" t="inlineStr">
        <is>
          <t>recall</t>
        </is>
      </c>
      <c r="F42" s="39" t="inlineStr">
        <is>
          <t>F1</t>
        </is>
      </c>
      <c r="G42" s="39" t="inlineStr">
        <is>
          <t>F1 baseline</t>
        </is>
      </c>
      <c r="H42" s="39" t="inlineStr">
        <is>
          <t>ΔF1</t>
        </is>
      </c>
      <c r="I42" s="39" t="inlineStr">
        <is>
          <t>precision baseline</t>
        </is>
      </c>
      <c r="J42" s="39" t="inlineStr">
        <is>
          <t>recall baseline</t>
        </is>
      </c>
    </row>
    <row r="43">
      <c r="A43" t="n">
        <v>0</v>
      </c>
      <c r="B43" t="inlineStr">
        <is>
          <t>Spruce/Fir</t>
        </is>
      </c>
      <c r="C43" t="n">
        <v>42368</v>
      </c>
      <c r="D43" t="n">
        <v>0.926558</v>
      </c>
      <c r="E43" t="n">
        <v>0.913284</v>
      </c>
      <c r="F43" t="n">
        <v>0.9198730000000001</v>
      </c>
      <c r="G43" t="n">
        <v>0.907316</v>
      </c>
      <c r="H43" t="n">
        <v>0.012557</v>
      </c>
      <c r="I43" t="n">
        <v>0.915391</v>
      </c>
      <c r="J43" t="n">
        <v>0.899382</v>
      </c>
    </row>
    <row r="44">
      <c r="A44" t="n">
        <v>1</v>
      </c>
      <c r="B44" t="inlineStr">
        <is>
          <t>Lodgepole Pine</t>
        </is>
      </c>
      <c r="C44" t="n">
        <v>56661</v>
      </c>
      <c r="D44" t="n">
        <v>0.928075</v>
      </c>
      <c r="E44" t="n">
        <v>0.942571</v>
      </c>
      <c r="F44" t="n">
        <v>0.935267</v>
      </c>
      <c r="G44" t="n">
        <v>0.923862</v>
      </c>
      <c r="H44" t="n">
        <v>0.011404</v>
      </c>
      <c r="I44" t="n">
        <v>0.918265</v>
      </c>
      <c r="J44" t="n">
        <v>0.929528</v>
      </c>
    </row>
    <row r="45">
      <c r="A45" t="n">
        <v>2</v>
      </c>
      <c r="B45" t="inlineStr">
        <is>
          <t>Ponderosa Pine</t>
        </is>
      </c>
      <c r="C45" t="n">
        <v>7151</v>
      </c>
      <c r="D45" t="n">
        <v>0.9135</v>
      </c>
      <c r="E45" t="n">
        <v>0.924486</v>
      </c>
      <c r="F45" t="n">
        <v>0.91896</v>
      </c>
      <c r="G45" t="n">
        <v>0.8935419999999999</v>
      </c>
      <c r="H45" t="n">
        <v>0.025418</v>
      </c>
      <c r="I45" t="n">
        <v>0.904094</v>
      </c>
      <c r="J45" t="n">
        <v>0.883233</v>
      </c>
    </row>
    <row r="46">
      <c r="A46" t="n">
        <v>3</v>
      </c>
      <c r="B46" t="inlineStr">
        <is>
          <t>Cottonwood/Willow</t>
        </is>
      </c>
      <c r="C46" t="n">
        <v>549</v>
      </c>
      <c r="D46" t="n">
        <v>0.866405</v>
      </c>
      <c r="E46" t="n">
        <v>0.803279</v>
      </c>
      <c r="F46" t="n">
        <v>0.8336479999999999</v>
      </c>
      <c r="G46" t="n">
        <v>0.8018690000000001</v>
      </c>
      <c r="H46" t="n">
        <v>0.031779</v>
      </c>
      <c r="I46" t="n">
        <v>0.823417</v>
      </c>
      <c r="J46" t="n">
        <v>0.781421</v>
      </c>
    </row>
    <row r="47">
      <c r="A47" t="n">
        <v>4</v>
      </c>
      <c r="B47" t="inlineStr">
        <is>
          <t>Aspen</t>
        </is>
      </c>
      <c r="C47" t="n">
        <v>1899</v>
      </c>
      <c r="D47" t="n">
        <v>0.868437</v>
      </c>
      <c r="E47" t="n">
        <v>0.775145</v>
      </c>
      <c r="F47" t="n">
        <v>0.819143</v>
      </c>
      <c r="G47" t="n">
        <v>0.768444</v>
      </c>
      <c r="H47" t="n">
        <v>0.050699</v>
      </c>
      <c r="I47" t="n">
        <v>0.786226</v>
      </c>
      <c r="J47" t="n">
        <v>0.751448</v>
      </c>
    </row>
    <row r="48">
      <c r="A48" t="n">
        <v>5</v>
      </c>
      <c r="B48" t="inlineStr">
        <is>
          <t>Douglas-fir</t>
        </is>
      </c>
      <c r="C48" t="n">
        <v>3473</v>
      </c>
      <c r="D48" t="n">
        <v>0.85022</v>
      </c>
      <c r="E48" t="n">
        <v>0.833573</v>
      </c>
      <c r="F48" t="n">
        <v>0.841814</v>
      </c>
      <c r="G48" t="n">
        <v>0.801881</v>
      </c>
      <c r="H48" t="n">
        <v>0.039933</v>
      </c>
      <c r="I48" t="n">
        <v>0.79396</v>
      </c>
      <c r="J48" t="n">
        <v>0.809963</v>
      </c>
    </row>
    <row r="49">
      <c r="A49" t="n">
        <v>6</v>
      </c>
      <c r="B49" t="inlineStr">
        <is>
          <t>Krummholz</t>
        </is>
      </c>
      <c r="C49" t="n">
        <v>4102</v>
      </c>
      <c r="D49" t="n">
        <v>0.9446909999999999</v>
      </c>
      <c r="E49" t="n">
        <v>0.932716</v>
      </c>
      <c r="F49" t="n">
        <v>0.938665</v>
      </c>
      <c r="G49" t="n">
        <v>0.913563</v>
      </c>
      <c r="H49" t="n">
        <v>0.025103</v>
      </c>
      <c r="I49" t="n">
        <v>0.887026</v>
      </c>
      <c r="J49" t="n">
        <v>0.941736</v>
      </c>
    </row>
    <row r="51">
      <c r="A51" s="39" t="inlineStr">
        <is>
          <t>4.1 — ma trận nhầm lẫn final-s1 trên eval (hàng = thật, cột = dự đoán)</t>
        </is>
      </c>
    </row>
    <row r="52">
      <c r="A52" s="39" t="inlineStr">
        <is>
          <t>thật \ đoán</t>
        </is>
      </c>
      <c r="B52" s="39" t="inlineStr">
        <is>
          <t>0</t>
        </is>
      </c>
      <c r="C52" s="39" t="inlineStr">
        <is>
          <t>1</t>
        </is>
      </c>
      <c r="D52" s="39" t="inlineStr">
        <is>
          <t>2</t>
        </is>
      </c>
      <c r="E52" s="39" t="inlineStr">
        <is>
          <t>3</t>
        </is>
      </c>
      <c r="F52" s="39" t="inlineStr">
        <is>
          <t>4</t>
        </is>
      </c>
      <c r="G52" s="39" t="inlineStr">
        <is>
          <t>5</t>
        </is>
      </c>
      <c r="H52" s="39" t="inlineStr">
        <is>
          <t>6</t>
        </is>
      </c>
      <c r="I52" s="39" t="inlineStr">
        <is>
          <t>% nhầm nhiều nhất</t>
        </is>
      </c>
    </row>
    <row r="53">
      <c r="A53" t="n">
        <v>0</v>
      </c>
      <c r="B53" t="n">
        <v>38694</v>
      </c>
      <c r="C53" t="n">
        <v>3435</v>
      </c>
      <c r="D53" t="n">
        <v>0</v>
      </c>
      <c r="E53" t="n">
        <v>0</v>
      </c>
      <c r="F53" t="n">
        <v>32</v>
      </c>
      <c r="G53" t="n">
        <v>10</v>
      </c>
      <c r="H53" t="n">
        <v>197</v>
      </c>
      <c r="I53" t="n">
        <v>8.107533999999999</v>
      </c>
    </row>
    <row r="54">
      <c r="A54" t="n">
        <v>1</v>
      </c>
      <c r="B54" t="n">
        <v>2761</v>
      </c>
      <c r="C54" t="n">
        <v>53407</v>
      </c>
      <c r="D54" t="n">
        <v>150</v>
      </c>
      <c r="E54" t="n">
        <v>0</v>
      </c>
      <c r="F54" t="n">
        <v>181</v>
      </c>
      <c r="G54" t="n">
        <v>135</v>
      </c>
      <c r="H54" t="n">
        <v>27</v>
      </c>
      <c r="I54" t="n">
        <v>4.87284</v>
      </c>
    </row>
    <row r="55">
      <c r="A55" t="n">
        <v>2</v>
      </c>
      <c r="B55" t="n">
        <v>2</v>
      </c>
      <c r="C55" t="n">
        <v>165</v>
      </c>
      <c r="D55" t="n">
        <v>6611</v>
      </c>
      <c r="E55" t="n">
        <v>44</v>
      </c>
      <c r="F55" t="n">
        <v>8</v>
      </c>
      <c r="G55" t="n">
        <v>321</v>
      </c>
      <c r="H55" t="n">
        <v>0</v>
      </c>
      <c r="I55" t="n">
        <v>4.488883</v>
      </c>
    </row>
    <row r="56">
      <c r="A56" t="n">
        <v>3</v>
      </c>
      <c r="B56" t="n">
        <v>0</v>
      </c>
      <c r="C56" t="n">
        <v>2</v>
      </c>
      <c r="D56" t="n">
        <v>74</v>
      </c>
      <c r="E56" t="n">
        <v>441</v>
      </c>
      <c r="F56" t="n">
        <v>0</v>
      </c>
      <c r="G56" t="n">
        <v>32</v>
      </c>
      <c r="H56" t="n">
        <v>0</v>
      </c>
      <c r="I56" t="n">
        <v>13.479053</v>
      </c>
    </row>
    <row r="57">
      <c r="A57" t="n">
        <v>4</v>
      </c>
      <c r="B57" t="n">
        <v>46</v>
      </c>
      <c r="C57" t="n">
        <v>349</v>
      </c>
      <c r="D57" t="n">
        <v>20</v>
      </c>
      <c r="E57" t="n">
        <v>0</v>
      </c>
      <c r="F57" t="n">
        <v>1472</v>
      </c>
      <c r="G57" t="n">
        <v>12</v>
      </c>
      <c r="H57" t="n">
        <v>0</v>
      </c>
      <c r="I57" t="n">
        <v>18.378094</v>
      </c>
    </row>
    <row r="58">
      <c r="A58" t="n">
        <v>5</v>
      </c>
      <c r="B58" t="n">
        <v>10</v>
      </c>
      <c r="C58" t="n">
        <v>161</v>
      </c>
      <c r="D58" t="n">
        <v>382</v>
      </c>
      <c r="E58" t="n">
        <v>24</v>
      </c>
      <c r="F58" t="n">
        <v>1</v>
      </c>
      <c r="G58" t="n">
        <v>2895</v>
      </c>
      <c r="H58" t="n">
        <v>0</v>
      </c>
      <c r="I58" t="n">
        <v>10.999136</v>
      </c>
    </row>
    <row r="59">
      <c r="A59" t="n">
        <v>6</v>
      </c>
      <c r="B59" t="n">
        <v>248</v>
      </c>
      <c r="C59" t="n">
        <v>27</v>
      </c>
      <c r="D59" t="n">
        <v>0</v>
      </c>
      <c r="E59" t="n">
        <v>0</v>
      </c>
      <c r="F59" t="n">
        <v>1</v>
      </c>
      <c r="G59" t="n">
        <v>0</v>
      </c>
      <c r="H59" t="n">
        <v>3826</v>
      </c>
      <c r="I59" t="n">
        <v>6.045831</v>
      </c>
    </row>
    <row r="61">
      <c r="A61" s="39" t="inlineStr">
        <is>
          <t>4.1 — thống kê X_tr theo lớp (độ cao gốc, tỉ lệ vùng hoang dã)</t>
        </is>
      </c>
    </row>
    <row r="62">
      <c r="A62" s="39" t="inlineStr">
        <is>
          <t>lớp</t>
        </is>
      </c>
      <c r="B62" s="39" t="inlineStr">
        <is>
          <t>loại rừng</t>
        </is>
      </c>
      <c r="C62" s="39" t="inlineStr">
        <is>
          <t>n</t>
        </is>
      </c>
      <c r="D62" s="39" t="inlineStr">
        <is>
          <t>Elevation p10</t>
        </is>
      </c>
      <c r="E62" s="39" t="inlineStr">
        <is>
          <t>Elevation median</t>
        </is>
      </c>
      <c r="F62" s="39" t="inlineStr">
        <is>
          <t>Elevation p90</t>
        </is>
      </c>
      <c r="G62" s="39" t="inlineStr">
        <is>
          <t>Wilderness_0</t>
        </is>
      </c>
      <c r="H62" s="39" t="inlineStr">
        <is>
          <t>Wilderness_1</t>
        </is>
      </c>
      <c r="I62" s="39" t="inlineStr">
        <is>
          <t>Wilderness_2</t>
        </is>
      </c>
      <c r="J62" s="39" t="inlineStr">
        <is>
          <t>Wilderness_3</t>
        </is>
      </c>
    </row>
    <row r="63">
      <c r="A63" t="n">
        <v>0</v>
      </c>
      <c r="B63" t="inlineStr">
        <is>
          <t>Spruce/Fir</t>
        </is>
      </c>
      <c r="C63" t="n">
        <v>135578</v>
      </c>
      <c r="D63" t="n">
        <v>2924.699951</v>
      </c>
      <c r="E63" t="n">
        <v>3146</v>
      </c>
      <c r="F63" t="n">
        <v>3311</v>
      </c>
      <c r="G63" t="n">
        <v>0.498702</v>
      </c>
      <c r="H63" t="n">
        <v>0.08749899999999999</v>
      </c>
      <c r="I63" t="n">
        <v>0.413799</v>
      </c>
      <c r="J63" t="n">
        <v>0</v>
      </c>
    </row>
    <row r="64">
      <c r="A64" t="n">
        <v>1</v>
      </c>
      <c r="B64" t="inlineStr">
        <is>
          <t>Lodgepole Pine</t>
        </is>
      </c>
      <c r="C64" t="n">
        <v>181312</v>
      </c>
      <c r="D64" t="n">
        <v>2664</v>
      </c>
      <c r="E64" t="n">
        <v>2936</v>
      </c>
      <c r="F64" t="n">
        <v>3165</v>
      </c>
      <c r="G64" t="n">
        <v>0.515785</v>
      </c>
      <c r="H64" t="n">
        <v>0.031939</v>
      </c>
      <c r="I64" t="n">
        <v>0.441692</v>
      </c>
      <c r="J64" t="n">
        <v>0.010584</v>
      </c>
    </row>
    <row r="65">
      <c r="A65" t="n">
        <v>2</v>
      </c>
      <c r="B65" t="inlineStr">
        <is>
          <t>Ponderosa Pine</t>
        </is>
      </c>
      <c r="C65" t="n">
        <v>22882</v>
      </c>
      <c r="D65" t="n">
        <v>2112</v>
      </c>
      <c r="E65" t="n">
        <v>2403</v>
      </c>
      <c r="F65" t="n">
        <v>2639</v>
      </c>
      <c r="G65" t="n">
        <v>0</v>
      </c>
      <c r="H65" t="n">
        <v>0</v>
      </c>
      <c r="I65" t="n">
        <v>0.398173</v>
      </c>
      <c r="J65" t="n">
        <v>0.601827</v>
      </c>
    </row>
    <row r="66">
      <c r="A66" t="n">
        <v>3</v>
      </c>
      <c r="B66" t="inlineStr">
        <is>
          <t>Cottonwood/Willow</t>
        </is>
      </c>
      <c r="C66" t="n">
        <v>1759</v>
      </c>
      <c r="D66" t="n">
        <v>2079.800049</v>
      </c>
      <c r="E66" t="n">
        <v>2231</v>
      </c>
      <c r="F66" t="n">
        <v>2350</v>
      </c>
      <c r="G66" t="n">
        <v>0</v>
      </c>
      <c r="H66" t="n">
        <v>0</v>
      </c>
      <c r="I66" t="n">
        <v>0</v>
      </c>
      <c r="J66" t="n">
        <v>1</v>
      </c>
    </row>
    <row r="67">
      <c r="A67" t="n">
        <v>4</v>
      </c>
      <c r="B67" t="inlineStr">
        <is>
          <t>Aspen</t>
        </is>
      </c>
      <c r="C67" t="n">
        <v>6075</v>
      </c>
      <c r="D67" t="n">
        <v>2674.399902</v>
      </c>
      <c r="E67" t="n">
        <v>2797</v>
      </c>
      <c r="F67" t="n">
        <v>2904</v>
      </c>
      <c r="G67" t="n">
        <v>0.394733</v>
      </c>
      <c r="H67" t="n">
        <v>0</v>
      </c>
      <c r="I67" t="n">
        <v>0.605267</v>
      </c>
      <c r="J67" t="n">
        <v>0</v>
      </c>
    </row>
    <row r="68">
      <c r="A68" t="n">
        <v>5</v>
      </c>
      <c r="B68" t="inlineStr">
        <is>
          <t>Douglas-fir</t>
        </is>
      </c>
      <c r="C68" t="n">
        <v>11115</v>
      </c>
      <c r="D68" t="n">
        <v>2149</v>
      </c>
      <c r="E68" t="n">
        <v>2426</v>
      </c>
      <c r="F68" t="n">
        <v>2657</v>
      </c>
      <c r="G68" t="n">
        <v>0</v>
      </c>
      <c r="H68" t="n">
        <v>0</v>
      </c>
      <c r="I68" t="n">
        <v>0.436257</v>
      </c>
      <c r="J68" t="n">
        <v>0.563743</v>
      </c>
    </row>
    <row r="69">
      <c r="A69" t="n">
        <v>6</v>
      </c>
      <c r="B69" t="inlineStr">
        <is>
          <t>Krummholz</t>
        </is>
      </c>
      <c r="C69" t="n">
        <v>13126</v>
      </c>
      <c r="D69" t="n">
        <v>3243</v>
      </c>
      <c r="E69" t="n">
        <v>3363</v>
      </c>
      <c r="F69" t="n">
        <v>3459</v>
      </c>
      <c r="G69" t="n">
        <v>0.244705</v>
      </c>
      <c r="H69" t="n">
        <v>0.112601</v>
      </c>
      <c r="I69" t="n">
        <v>0.642694</v>
      </c>
      <c r="J69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16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exp_id</t>
        </is>
      </c>
      <c r="B1" s="39" t="inlineStr">
        <is>
          <t>epoch</t>
        </is>
      </c>
      <c r="C1" s="39" t="inlineStr">
        <is>
          <t>train_loss</t>
        </is>
      </c>
      <c r="D1" s="39" t="inlineStr">
        <is>
          <t>train_acc</t>
        </is>
      </c>
      <c r="E1" s="39" t="inlineStr">
        <is>
          <t>train_loss_running</t>
        </is>
      </c>
      <c r="F1" s="39" t="inlineStr">
        <is>
          <t>val_loss</t>
        </is>
      </c>
      <c r="G1" s="39" t="inlineStr">
        <is>
          <t>val_acc</t>
        </is>
      </c>
      <c r="H1" s="39" t="inlineStr">
        <is>
          <t>val_macro_f1</t>
        </is>
      </c>
      <c r="I1" s="39" t="inlineStr">
        <is>
          <t>grad_norm</t>
        </is>
      </c>
      <c r="J1" s="39" t="inlineStr">
        <is>
          <t>grad_norm_max</t>
        </is>
      </c>
      <c r="K1" s="39" t="inlineStr">
        <is>
          <t>frac_clipped</t>
        </is>
      </c>
      <c r="L1" s="39" t="inlineStr">
        <is>
          <t>lr</t>
        </is>
      </c>
      <c r="M1" s="39" t="inlineStr">
        <is>
          <t>epoch_time_s</t>
        </is>
      </c>
    </row>
    <row r="2">
      <c r="A2" t="inlineStr">
        <is>
          <t>base-s1</t>
        </is>
      </c>
      <c r="B2" t="n">
        <v>1</v>
      </c>
      <c r="C2" t="n">
        <v>0.434944</v>
      </c>
      <c r="D2" t="n">
        <v>0.811194</v>
      </c>
      <c r="E2" t="n">
        <v>0.521267</v>
      </c>
      <c r="F2" t="n">
        <v>0.440036</v>
      </c>
      <c r="G2" t="n">
        <v>0.8091159999999999</v>
      </c>
      <c r="H2" t="n">
        <v>0.67459</v>
      </c>
      <c r="I2" t="n">
        <v>0.396706</v>
      </c>
      <c r="J2" t="n">
        <v>2.871076</v>
      </c>
      <c r="K2" t="n">
        <v>0</v>
      </c>
      <c r="L2" t="n">
        <v>0.3</v>
      </c>
      <c r="M2" t="n">
        <v>0.295052</v>
      </c>
    </row>
    <row r="3">
      <c r="A3" t="inlineStr">
        <is>
          <t>base-s1</t>
        </is>
      </c>
      <c r="B3" t="n">
        <v>2</v>
      </c>
      <c r="C3" t="n">
        <v>0.38613</v>
      </c>
      <c r="D3" t="n">
        <v>0.841126</v>
      </c>
      <c r="E3" t="n">
        <v>0.406904</v>
      </c>
      <c r="F3" t="n">
        <v>0.394516</v>
      </c>
      <c r="G3" t="n">
        <v>0.837138</v>
      </c>
      <c r="H3" t="n">
        <v>0.725614</v>
      </c>
      <c r="I3" t="n">
        <v>0.37311</v>
      </c>
      <c r="J3" t="n">
        <v>0.746748</v>
      </c>
      <c r="K3" t="n">
        <v>0</v>
      </c>
      <c r="L3" t="n">
        <v>0.3</v>
      </c>
      <c r="M3" t="n">
        <v>0.315077</v>
      </c>
    </row>
    <row r="4">
      <c r="A4" t="inlineStr">
        <is>
          <t>base-s1</t>
        </is>
      </c>
      <c r="B4" t="n">
        <v>3</v>
      </c>
      <c r="C4" t="n">
        <v>0.356035</v>
      </c>
      <c r="D4" t="n">
        <v>0.852741</v>
      </c>
      <c r="E4" t="n">
        <v>0.362352</v>
      </c>
      <c r="F4" t="n">
        <v>0.365087</v>
      </c>
      <c r="G4" t="n">
        <v>0.848175</v>
      </c>
      <c r="H4" t="n">
        <v>0.728088</v>
      </c>
      <c r="I4" t="n">
        <v>0.374092</v>
      </c>
      <c r="J4" t="n">
        <v>0.66614</v>
      </c>
      <c r="K4" t="n">
        <v>0</v>
      </c>
      <c r="L4" t="n">
        <v>0.3</v>
      </c>
      <c r="M4" t="n">
        <v>0.356546</v>
      </c>
    </row>
    <row r="5">
      <c r="A5" t="inlineStr">
        <is>
          <t>base-s1</t>
        </is>
      </c>
      <c r="B5" t="n">
        <v>4</v>
      </c>
      <c r="C5" t="n">
        <v>0.336762</v>
      </c>
      <c r="D5" t="n">
        <v>0.859609</v>
      </c>
      <c r="E5" t="n">
        <v>0.335777</v>
      </c>
      <c r="F5" t="n">
        <v>0.34652</v>
      </c>
      <c r="G5" t="n">
        <v>0.855791</v>
      </c>
      <c r="H5" t="n">
        <v>0.771947</v>
      </c>
      <c r="I5" t="n">
        <v>0.369997</v>
      </c>
      <c r="J5" t="n">
        <v>0.6384649999999999</v>
      </c>
      <c r="K5" t="n">
        <v>0</v>
      </c>
      <c r="L5" t="n">
        <v>0.3</v>
      </c>
      <c r="M5" t="n">
        <v>0.30222</v>
      </c>
    </row>
    <row r="6">
      <c r="A6" t="inlineStr">
        <is>
          <t>base-s1</t>
        </is>
      </c>
      <c r="B6" t="n">
        <v>5</v>
      </c>
      <c r="C6" t="n">
        <v>0.300193</v>
      </c>
      <c r="D6" t="n">
        <v>0.875984</v>
      </c>
      <c r="E6" t="n">
        <v>0.312851</v>
      </c>
      <c r="F6" t="n">
        <v>0.310436</v>
      </c>
      <c r="G6" t="n">
        <v>0.870184</v>
      </c>
      <c r="H6" t="n">
        <v>0.795309</v>
      </c>
      <c r="I6" t="n">
        <v>0.365017</v>
      </c>
      <c r="J6" t="n">
        <v>0.581753</v>
      </c>
      <c r="K6" t="n">
        <v>0</v>
      </c>
      <c r="L6" t="n">
        <v>0.3</v>
      </c>
      <c r="M6" t="n">
        <v>0.298105</v>
      </c>
    </row>
    <row r="7">
      <c r="A7" t="inlineStr">
        <is>
          <t>base-s1</t>
        </is>
      </c>
      <c r="B7" t="n">
        <v>6</v>
      </c>
      <c r="C7" t="n">
        <v>0.300121</v>
      </c>
      <c r="D7" t="n">
        <v>0.877767</v>
      </c>
      <c r="E7" t="n">
        <v>0.299735</v>
      </c>
      <c r="F7" t="n">
        <v>0.314544</v>
      </c>
      <c r="G7" t="n">
        <v>0.872443</v>
      </c>
      <c r="H7" t="n">
        <v>0.788829</v>
      </c>
      <c r="I7" t="n">
        <v>0.367803</v>
      </c>
      <c r="J7" t="n">
        <v>0.723912</v>
      </c>
      <c r="K7" t="n">
        <v>0</v>
      </c>
      <c r="L7" t="n">
        <v>0.3</v>
      </c>
      <c r="M7" t="n">
        <v>0.30492</v>
      </c>
    </row>
    <row r="8">
      <c r="A8" t="inlineStr">
        <is>
          <t>base-s1</t>
        </is>
      </c>
      <c r="B8" t="n">
        <v>7</v>
      </c>
      <c r="C8" t="n">
        <v>0.278052</v>
      </c>
      <c r="D8" t="n">
        <v>0.886058</v>
      </c>
      <c r="E8" t="n">
        <v>0.284493</v>
      </c>
      <c r="F8" t="n">
        <v>0.291571</v>
      </c>
      <c r="G8" t="n">
        <v>0.879553</v>
      </c>
      <c r="H8" t="n">
        <v>0.793786</v>
      </c>
      <c r="I8" t="n">
        <v>0.360762</v>
      </c>
      <c r="J8" t="n">
        <v>0.61838</v>
      </c>
      <c r="K8" t="n">
        <v>0</v>
      </c>
      <c r="L8" t="n">
        <v>0.3</v>
      </c>
      <c r="M8" t="n">
        <v>0.310012</v>
      </c>
    </row>
    <row r="9">
      <c r="A9" t="inlineStr">
        <is>
          <t>base-s1</t>
        </is>
      </c>
      <c r="B9" t="n">
        <v>8</v>
      </c>
      <c r="C9" t="n">
        <v>0.287913</v>
      </c>
      <c r="D9" t="n">
        <v>0.882253</v>
      </c>
      <c r="E9" t="n">
        <v>0.275962</v>
      </c>
      <c r="F9" t="n">
        <v>0.302058</v>
      </c>
      <c r="G9" t="n">
        <v>0.8771</v>
      </c>
      <c r="H9" t="n">
        <v>0.812527</v>
      </c>
      <c r="I9" t="n">
        <v>0.357884</v>
      </c>
      <c r="J9" t="n">
        <v>0.726919</v>
      </c>
      <c r="K9" t="n">
        <v>0</v>
      </c>
      <c r="L9" t="n">
        <v>0.3</v>
      </c>
      <c r="M9" t="n">
        <v>0.30754</v>
      </c>
    </row>
    <row r="10">
      <c r="A10" t="inlineStr">
        <is>
          <t>base-s1</t>
        </is>
      </c>
      <c r="B10" t="n">
        <v>9</v>
      </c>
      <c r="C10" t="n">
        <v>0.250175</v>
      </c>
      <c r="D10" t="n">
        <v>0.8977889999999999</v>
      </c>
      <c r="E10" t="n">
        <v>0.26762</v>
      </c>
      <c r="F10" t="n">
        <v>0.266955</v>
      </c>
      <c r="G10" t="n">
        <v>0.892472</v>
      </c>
      <c r="H10" t="n">
        <v>0.824146</v>
      </c>
      <c r="I10" t="n">
        <v>0.360093</v>
      </c>
      <c r="J10" t="n">
        <v>0.581806</v>
      </c>
      <c r="K10" t="n">
        <v>0</v>
      </c>
      <c r="L10" t="n">
        <v>0.3</v>
      </c>
      <c r="M10" t="n">
        <v>0.300641</v>
      </c>
    </row>
    <row r="11">
      <c r="A11" t="inlineStr">
        <is>
          <t>base-s1</t>
        </is>
      </c>
      <c r="B11" t="n">
        <v>10</v>
      </c>
      <c r="C11" t="n">
        <v>0.25559</v>
      </c>
      <c r="D11" t="n">
        <v>0.896331</v>
      </c>
      <c r="E11" t="n">
        <v>0.260253</v>
      </c>
      <c r="F11" t="n">
        <v>0.272327</v>
      </c>
      <c r="G11" t="n">
        <v>0.891751</v>
      </c>
      <c r="H11" t="n">
        <v>0.825927</v>
      </c>
      <c r="I11" t="n">
        <v>0.354629</v>
      </c>
      <c r="J11" t="n">
        <v>0.635378</v>
      </c>
      <c r="K11" t="n">
        <v>0</v>
      </c>
      <c r="L11" t="n">
        <v>0.3</v>
      </c>
      <c r="M11" t="n">
        <v>0.29717</v>
      </c>
    </row>
    <row r="12">
      <c r="A12" t="inlineStr">
        <is>
          <t>base-s1</t>
        </is>
      </c>
      <c r="B12" t="n">
        <v>11</v>
      </c>
      <c r="C12" t="n">
        <v>0.237681</v>
      </c>
      <c r="D12" t="n">
        <v>0.903095</v>
      </c>
      <c r="E12" t="n">
        <v>0.249534</v>
      </c>
      <c r="F12" t="n">
        <v>0.256475</v>
      </c>
      <c r="G12" t="n">
        <v>0.896248</v>
      </c>
      <c r="H12" t="n">
        <v>0.8283239999999999</v>
      </c>
      <c r="I12" t="n">
        <v>0.349262</v>
      </c>
      <c r="J12" t="n">
        <v>0.711025</v>
      </c>
      <c r="K12" t="n">
        <v>0</v>
      </c>
      <c r="L12" t="n">
        <v>0.3</v>
      </c>
      <c r="M12" t="n">
        <v>0.318698</v>
      </c>
    </row>
    <row r="13">
      <c r="A13" t="inlineStr">
        <is>
          <t>base-s1</t>
        </is>
      </c>
      <c r="B13" t="n">
        <v>12</v>
      </c>
      <c r="C13" t="n">
        <v>0.241936</v>
      </c>
      <c r="D13" t="n">
        <v>0.902648</v>
      </c>
      <c r="E13" t="n">
        <v>0.243909</v>
      </c>
      <c r="F13" t="n">
        <v>0.262306</v>
      </c>
      <c r="G13" t="n">
        <v>0.8947850000000001</v>
      </c>
      <c r="H13" t="n">
        <v>0.828196</v>
      </c>
      <c r="I13" t="n">
        <v>0.34785</v>
      </c>
      <c r="J13" t="n">
        <v>0.8572959999999999</v>
      </c>
      <c r="K13" t="n">
        <v>0</v>
      </c>
      <c r="L13" t="n">
        <v>0.3</v>
      </c>
      <c r="M13" t="n">
        <v>0.302634</v>
      </c>
    </row>
    <row r="14">
      <c r="A14" t="inlineStr">
        <is>
          <t>base-s1</t>
        </is>
      </c>
      <c r="B14" t="n">
        <v>13</v>
      </c>
      <c r="C14" t="n">
        <v>0.235168</v>
      </c>
      <c r="D14" t="n">
        <v>0.904458</v>
      </c>
      <c r="E14" t="n">
        <v>0.240604</v>
      </c>
      <c r="F14" t="n">
        <v>0.255019</v>
      </c>
      <c r="G14" t="n">
        <v>0.89685</v>
      </c>
      <c r="H14" t="n">
        <v>0.83728</v>
      </c>
      <c r="I14" t="n">
        <v>0.350745</v>
      </c>
      <c r="J14" t="n">
        <v>0.590817</v>
      </c>
      <c r="K14" t="n">
        <v>0</v>
      </c>
      <c r="L14" t="n">
        <v>0.3</v>
      </c>
      <c r="M14" t="n">
        <v>0.301401</v>
      </c>
    </row>
    <row r="15">
      <c r="A15" t="inlineStr">
        <is>
          <t>base-s1</t>
        </is>
      </c>
      <c r="B15" t="n">
        <v>14</v>
      </c>
      <c r="C15" t="n">
        <v>0.222363</v>
      </c>
      <c r="D15" t="n">
        <v>0.910296</v>
      </c>
      <c r="E15" t="n">
        <v>0.233355</v>
      </c>
      <c r="F15" t="n">
        <v>0.243171</v>
      </c>
      <c r="G15" t="n">
        <v>0.9025300000000001</v>
      </c>
      <c r="H15" t="n">
        <v>0.84757</v>
      </c>
      <c r="I15" t="n">
        <v>0.34693</v>
      </c>
      <c r="J15" t="n">
        <v>0.519267</v>
      </c>
      <c r="K15" t="n">
        <v>0</v>
      </c>
      <c r="L15" t="n">
        <v>0.3</v>
      </c>
      <c r="M15" t="n">
        <v>0.301207</v>
      </c>
    </row>
    <row r="16">
      <c r="A16" t="inlineStr">
        <is>
          <t>base-s1</t>
        </is>
      </c>
      <c r="B16" t="n">
        <v>15</v>
      </c>
      <c r="C16" t="n">
        <v>0.221916</v>
      </c>
      <c r="D16" t="n">
        <v>0.907911</v>
      </c>
      <c r="E16" t="n">
        <v>0.231412</v>
      </c>
      <c r="F16" t="n">
        <v>0.243985</v>
      </c>
      <c r="G16" t="n">
        <v>0.901454</v>
      </c>
      <c r="H16" t="n">
        <v>0.84349</v>
      </c>
      <c r="I16" t="n">
        <v>0.347355</v>
      </c>
      <c r="J16" t="n">
        <v>0.497717</v>
      </c>
      <c r="K16" t="n">
        <v>0</v>
      </c>
      <c r="L16" t="n">
        <v>0.3</v>
      </c>
      <c r="M16" t="n">
        <v>0.304227</v>
      </c>
    </row>
    <row r="17">
      <c r="A17" t="inlineStr">
        <is>
          <t>base-s1</t>
        </is>
      </c>
      <c r="B17" t="n">
        <v>16</v>
      </c>
      <c r="C17" t="n">
        <v>0.221694</v>
      </c>
      <c r="D17" t="n">
        <v>0.910138</v>
      </c>
      <c r="E17" t="n">
        <v>0.226859</v>
      </c>
      <c r="F17" t="n">
        <v>0.244506</v>
      </c>
      <c r="G17" t="n">
        <v>0.903799</v>
      </c>
      <c r="H17" t="n">
        <v>0.838645</v>
      </c>
      <c r="I17" t="n">
        <v>0.345185</v>
      </c>
      <c r="J17" t="n">
        <v>0.480921</v>
      </c>
      <c r="K17" t="n">
        <v>0</v>
      </c>
      <c r="L17" t="n">
        <v>0.3</v>
      </c>
      <c r="M17" t="n">
        <v>0.301738</v>
      </c>
    </row>
    <row r="18">
      <c r="A18" t="inlineStr">
        <is>
          <t>base-s1</t>
        </is>
      </c>
      <c r="B18" t="n">
        <v>17</v>
      </c>
      <c r="C18" t="n">
        <v>0.228441</v>
      </c>
      <c r="D18" t="n">
        <v>0.907223</v>
      </c>
      <c r="E18" t="n">
        <v>0.223031</v>
      </c>
      <c r="F18" t="n">
        <v>0.24916</v>
      </c>
      <c r="G18" t="n">
        <v>0.900142</v>
      </c>
      <c r="H18" t="n">
        <v>0.836494</v>
      </c>
      <c r="I18" t="n">
        <v>0.345271</v>
      </c>
      <c r="J18" t="n">
        <v>0.562436</v>
      </c>
      <c r="K18" t="n">
        <v>0</v>
      </c>
      <c r="L18" t="n">
        <v>0.3</v>
      </c>
      <c r="M18" t="n">
        <v>0.305057</v>
      </c>
    </row>
    <row r="19">
      <c r="A19" t="inlineStr">
        <is>
          <t>base-s1</t>
        </is>
      </c>
      <c r="B19" t="n">
        <v>18</v>
      </c>
      <c r="C19" t="n">
        <v>0.212455</v>
      </c>
      <c r="D19" t="n">
        <v>0.915285</v>
      </c>
      <c r="E19" t="n">
        <v>0.21948</v>
      </c>
      <c r="F19" t="n">
        <v>0.237136</v>
      </c>
      <c r="G19" t="n">
        <v>0.907231</v>
      </c>
      <c r="H19" t="n">
        <v>0.853526</v>
      </c>
      <c r="I19" t="n">
        <v>0.34364</v>
      </c>
      <c r="J19" t="n">
        <v>0.601287</v>
      </c>
      <c r="K19" t="n">
        <v>0</v>
      </c>
      <c r="L19" t="n">
        <v>0.3</v>
      </c>
      <c r="M19" t="n">
        <v>0.315518</v>
      </c>
    </row>
    <row r="20">
      <c r="A20" t="inlineStr">
        <is>
          <t>base-s1</t>
        </is>
      </c>
      <c r="B20" t="n">
        <v>19</v>
      </c>
      <c r="C20" t="n">
        <v>0.21086</v>
      </c>
      <c r="D20" t="n">
        <v>0.914045</v>
      </c>
      <c r="E20" t="n">
        <v>0.218149</v>
      </c>
      <c r="F20" t="n">
        <v>0.235232</v>
      </c>
      <c r="G20" t="n">
        <v>0.905456</v>
      </c>
      <c r="H20" t="n">
        <v>0.850512</v>
      </c>
      <c r="I20" t="n">
        <v>0.345593</v>
      </c>
      <c r="J20" t="n">
        <v>0.629509</v>
      </c>
      <c r="K20" t="n">
        <v>0</v>
      </c>
      <c r="L20" t="n">
        <v>0.3</v>
      </c>
      <c r="M20" t="n">
        <v>0.304918</v>
      </c>
    </row>
    <row r="21">
      <c r="A21" t="inlineStr">
        <is>
          <t>base-s1</t>
        </is>
      </c>
      <c r="B21" t="n">
        <v>20</v>
      </c>
      <c r="C21" t="n">
        <v>0.201119</v>
      </c>
      <c r="D21" t="n">
        <v>0.918273</v>
      </c>
      <c r="E21" t="n">
        <v>0.21329</v>
      </c>
      <c r="F21" t="n">
        <v>0.226118</v>
      </c>
      <c r="G21" t="n">
        <v>0.909759</v>
      </c>
      <c r="H21" t="n">
        <v>0.857084</v>
      </c>
      <c r="I21" t="n">
        <v>0.338556</v>
      </c>
      <c r="J21" t="n">
        <v>0.563014</v>
      </c>
      <c r="K21" t="n">
        <v>0</v>
      </c>
      <c r="L21" t="n">
        <v>0.3</v>
      </c>
      <c r="M21" t="n">
        <v>0.304045</v>
      </c>
    </row>
    <row r="22">
      <c r="A22" t="inlineStr">
        <is>
          <t>base-s2</t>
        </is>
      </c>
      <c r="B22" t="n">
        <v>1</v>
      </c>
      <c r="C22" t="n">
        <v>0.428702</v>
      </c>
      <c r="D22" t="n">
        <v>0.819442</v>
      </c>
      <c r="E22" t="n">
        <v>0.520943</v>
      </c>
      <c r="F22" t="n">
        <v>0.43615</v>
      </c>
      <c r="G22" t="n">
        <v>0.814709</v>
      </c>
      <c r="H22" t="n">
        <v>0.658786</v>
      </c>
      <c r="I22" t="n">
        <v>0.394408</v>
      </c>
      <c r="J22" t="n">
        <v>2.251395</v>
      </c>
      <c r="K22" t="n">
        <v>0</v>
      </c>
      <c r="L22" t="n">
        <v>0.3</v>
      </c>
      <c r="M22" t="n">
        <v>0.310095</v>
      </c>
    </row>
    <row r="23">
      <c r="A23" t="inlineStr">
        <is>
          <t>base-s2</t>
        </is>
      </c>
      <c r="B23" t="n">
        <v>2</v>
      </c>
      <c r="C23" t="n">
        <v>0.370338</v>
      </c>
      <c r="D23" t="n">
        <v>0.8459370000000001</v>
      </c>
      <c r="E23" t="n">
        <v>0.404125</v>
      </c>
      <c r="F23" t="n">
        <v>0.379073</v>
      </c>
      <c r="G23" t="n">
        <v>0.841516</v>
      </c>
      <c r="H23" t="n">
        <v>0.731656</v>
      </c>
      <c r="I23" t="n">
        <v>0.366895</v>
      </c>
      <c r="J23" t="n">
        <v>0.575229</v>
      </c>
      <c r="K23" t="n">
        <v>0</v>
      </c>
      <c r="L23" t="n">
        <v>0.3</v>
      </c>
      <c r="M23" t="n">
        <v>0.305664</v>
      </c>
    </row>
    <row r="24">
      <c r="A24" t="inlineStr">
        <is>
          <t>base-s2</t>
        </is>
      </c>
      <c r="B24" t="n">
        <v>3</v>
      </c>
      <c r="C24" t="n">
        <v>0.32754</v>
      </c>
      <c r="D24" t="n">
        <v>0.864304</v>
      </c>
      <c r="E24" t="n">
        <v>0.355961</v>
      </c>
      <c r="F24" t="n">
        <v>0.337318</v>
      </c>
      <c r="G24" t="n">
        <v>0.860147</v>
      </c>
      <c r="H24" t="n">
        <v>0.771617</v>
      </c>
      <c r="I24" t="n">
        <v>0.359234</v>
      </c>
      <c r="J24" t="n">
        <v>0.588944</v>
      </c>
      <c r="K24" t="n">
        <v>0</v>
      </c>
      <c r="L24" t="n">
        <v>0.3</v>
      </c>
      <c r="M24" t="n">
        <v>0.309249</v>
      </c>
    </row>
    <row r="25">
      <c r="A25" t="inlineStr">
        <is>
          <t>base-s2</t>
        </is>
      </c>
      <c r="B25" t="n">
        <v>4</v>
      </c>
      <c r="C25" t="n">
        <v>0.33913</v>
      </c>
      <c r="D25" t="n">
        <v>0.857334</v>
      </c>
      <c r="E25" t="n">
        <v>0.326947</v>
      </c>
      <c r="F25" t="n">
        <v>0.346999</v>
      </c>
      <c r="G25" t="n">
        <v>0.854457</v>
      </c>
      <c r="H25" t="n">
        <v>0.769862</v>
      </c>
      <c r="I25" t="n">
        <v>0.360029</v>
      </c>
      <c r="J25" t="n">
        <v>0.633108</v>
      </c>
      <c r="K25" t="n">
        <v>0</v>
      </c>
      <c r="L25" t="n">
        <v>0.3</v>
      </c>
      <c r="M25" t="n">
        <v>0.306896</v>
      </c>
    </row>
    <row r="26">
      <c r="A26" t="inlineStr">
        <is>
          <t>base-s2</t>
        </is>
      </c>
      <c r="B26" t="n">
        <v>5</v>
      </c>
      <c r="C26" t="n">
        <v>0.279409</v>
      </c>
      <c r="D26" t="n">
        <v>0.884186</v>
      </c>
      <c r="E26" t="n">
        <v>0.3077</v>
      </c>
      <c r="F26" t="n">
        <v>0.290861</v>
      </c>
      <c r="G26" t="n">
        <v>0.879478</v>
      </c>
      <c r="H26" t="n">
        <v>0.801332</v>
      </c>
      <c r="I26" t="n">
        <v>0.354724</v>
      </c>
      <c r="J26" t="n">
        <v>0.763853</v>
      </c>
      <c r="K26" t="n">
        <v>0</v>
      </c>
      <c r="L26" t="n">
        <v>0.3</v>
      </c>
      <c r="M26" t="n">
        <v>0.309359</v>
      </c>
    </row>
    <row r="27">
      <c r="A27" t="inlineStr">
        <is>
          <t>base-s2</t>
        </is>
      </c>
      <c r="B27" t="n">
        <v>6</v>
      </c>
      <c r="C27" t="n">
        <v>0.28796</v>
      </c>
      <c r="D27" t="n">
        <v>0.882651</v>
      </c>
      <c r="E27" t="n">
        <v>0.290144</v>
      </c>
      <c r="F27" t="n">
        <v>0.299887</v>
      </c>
      <c r="G27" t="n">
        <v>0.878456</v>
      </c>
      <c r="H27" t="n">
        <v>0.805196</v>
      </c>
      <c r="I27" t="n">
        <v>0.35333</v>
      </c>
      <c r="J27" t="n">
        <v>0.663146</v>
      </c>
      <c r="K27" t="n">
        <v>0</v>
      </c>
      <c r="L27" t="n">
        <v>0.3</v>
      </c>
      <c r="M27" t="n">
        <v>0.304993</v>
      </c>
    </row>
    <row r="28">
      <c r="A28" t="inlineStr">
        <is>
          <t>base-s2</t>
        </is>
      </c>
      <c r="B28" t="n">
        <v>7</v>
      </c>
      <c r="C28" t="n">
        <v>0.270793</v>
      </c>
      <c r="D28" t="n">
        <v>0.889758</v>
      </c>
      <c r="E28" t="n">
        <v>0.27526</v>
      </c>
      <c r="F28" t="n">
        <v>0.286436</v>
      </c>
      <c r="G28" t="n">
        <v>0.883533</v>
      </c>
      <c r="H28" t="n">
        <v>0.8044249999999999</v>
      </c>
      <c r="I28" t="n">
        <v>0.347686</v>
      </c>
      <c r="J28" t="n">
        <v>0.736444</v>
      </c>
      <c r="K28" t="n">
        <v>0</v>
      </c>
      <c r="L28" t="n">
        <v>0.3</v>
      </c>
      <c r="M28" t="n">
        <v>0.301967</v>
      </c>
    </row>
    <row r="29">
      <c r="A29" t="inlineStr">
        <is>
          <t>base-s2</t>
        </is>
      </c>
      <c r="B29" t="n">
        <v>8</v>
      </c>
      <c r="C29" t="n">
        <v>0.249672</v>
      </c>
      <c r="D29" t="n">
        <v>0.898119</v>
      </c>
      <c r="E29" t="n">
        <v>0.26482</v>
      </c>
      <c r="F29" t="n">
        <v>0.263321</v>
      </c>
      <c r="G29" t="n">
        <v>0.892612</v>
      </c>
      <c r="H29" t="n">
        <v>0.830738</v>
      </c>
      <c r="I29" t="n">
        <v>0.348744</v>
      </c>
      <c r="J29" t="n">
        <v>0.56182</v>
      </c>
      <c r="K29" t="n">
        <v>0</v>
      </c>
      <c r="L29" t="n">
        <v>0.3</v>
      </c>
      <c r="M29" t="n">
        <v>0.323545</v>
      </c>
    </row>
    <row r="30">
      <c r="A30" t="inlineStr">
        <is>
          <t>base-s2</t>
        </is>
      </c>
      <c r="B30" t="n">
        <v>9</v>
      </c>
      <c r="C30" t="n">
        <v>0.250589</v>
      </c>
      <c r="D30" t="n">
        <v>0.899147</v>
      </c>
      <c r="E30" t="n">
        <v>0.258026</v>
      </c>
      <c r="F30" t="n">
        <v>0.270493</v>
      </c>
      <c r="G30" t="n">
        <v>0.8925689999999999</v>
      </c>
      <c r="H30" t="n">
        <v>0.826129</v>
      </c>
      <c r="I30" t="n">
        <v>0.345915</v>
      </c>
      <c r="J30" t="n">
        <v>0.49467</v>
      </c>
      <c r="K30" t="n">
        <v>0</v>
      </c>
      <c r="L30" t="n">
        <v>0.3</v>
      </c>
      <c r="M30" t="n">
        <v>0.310227</v>
      </c>
    </row>
    <row r="31">
      <c r="A31" t="inlineStr">
        <is>
          <t>base-s2</t>
        </is>
      </c>
      <c r="B31" t="n">
        <v>10</v>
      </c>
      <c r="C31" t="n">
        <v>0.238894</v>
      </c>
      <c r="D31" t="n">
        <v>0.901718</v>
      </c>
      <c r="E31" t="n">
        <v>0.247847</v>
      </c>
      <c r="F31" t="n">
        <v>0.257076</v>
      </c>
      <c r="G31" t="n">
        <v>0.896205</v>
      </c>
      <c r="H31" t="n">
        <v>0.830409</v>
      </c>
      <c r="I31" t="n">
        <v>0.343392</v>
      </c>
      <c r="J31" t="n">
        <v>0.557542</v>
      </c>
      <c r="K31" t="n">
        <v>0</v>
      </c>
      <c r="L31" t="n">
        <v>0.3</v>
      </c>
      <c r="M31" t="n">
        <v>0.304814</v>
      </c>
    </row>
    <row r="32">
      <c r="A32" t="inlineStr">
        <is>
          <t>base-s2</t>
        </is>
      </c>
      <c r="B32" t="n">
        <v>11</v>
      </c>
      <c r="C32" t="n">
        <v>0.236636</v>
      </c>
      <c r="D32" t="n">
        <v>0.902062</v>
      </c>
      <c r="E32" t="n">
        <v>0.240213</v>
      </c>
      <c r="F32" t="n">
        <v>0.25473</v>
      </c>
      <c r="G32" t="n">
        <v>0.894742</v>
      </c>
      <c r="H32" t="n">
        <v>0.838131</v>
      </c>
      <c r="I32" t="n">
        <v>0.339991</v>
      </c>
      <c r="J32" t="n">
        <v>0.645872</v>
      </c>
      <c r="K32" t="n">
        <v>0</v>
      </c>
      <c r="L32" t="n">
        <v>0.3</v>
      </c>
      <c r="M32" t="n">
        <v>0.304119</v>
      </c>
    </row>
    <row r="33">
      <c r="A33" t="inlineStr">
        <is>
          <t>base-s2</t>
        </is>
      </c>
      <c r="B33" t="n">
        <v>12</v>
      </c>
      <c r="C33" t="n">
        <v>0.231509</v>
      </c>
      <c r="D33" t="n">
        <v>0.9053639999999999</v>
      </c>
      <c r="E33" t="n">
        <v>0.236324</v>
      </c>
      <c r="F33" t="n">
        <v>0.251102</v>
      </c>
      <c r="G33" t="n">
        <v>0.898485</v>
      </c>
      <c r="H33" t="n">
        <v>0.845931</v>
      </c>
      <c r="I33" t="n">
        <v>0.341598</v>
      </c>
      <c r="J33" t="n">
        <v>0.6850000000000001</v>
      </c>
      <c r="K33" t="n">
        <v>0</v>
      </c>
      <c r="L33" t="n">
        <v>0.3</v>
      </c>
      <c r="M33" t="n">
        <v>0.312953</v>
      </c>
    </row>
    <row r="34">
      <c r="A34" t="inlineStr">
        <is>
          <t>base-s2</t>
        </is>
      </c>
      <c r="B34" t="n">
        <v>13</v>
      </c>
      <c r="C34" t="n">
        <v>0.217211</v>
      </c>
      <c r="D34" t="n">
        <v>0.911582</v>
      </c>
      <c r="E34" t="n">
        <v>0.230045</v>
      </c>
      <c r="F34" t="n">
        <v>0.237578</v>
      </c>
      <c r="G34" t="n">
        <v>0.904111</v>
      </c>
      <c r="H34" t="n">
        <v>0.8438020000000001</v>
      </c>
      <c r="I34" t="n">
        <v>0.340255</v>
      </c>
      <c r="J34" t="n">
        <v>0.809113</v>
      </c>
      <c r="K34" t="n">
        <v>0</v>
      </c>
      <c r="L34" t="n">
        <v>0.3</v>
      </c>
      <c r="M34" t="n">
        <v>0.309986</v>
      </c>
    </row>
    <row r="35">
      <c r="A35" t="inlineStr">
        <is>
          <t>base-s2</t>
        </is>
      </c>
      <c r="B35" t="n">
        <v>14</v>
      </c>
      <c r="C35" t="n">
        <v>0.219113</v>
      </c>
      <c r="D35" t="n">
        <v>0.911759</v>
      </c>
      <c r="E35" t="n">
        <v>0.226306</v>
      </c>
      <c r="F35" t="n">
        <v>0.239072</v>
      </c>
      <c r="G35" t="n">
        <v>0.90608</v>
      </c>
      <c r="H35" t="n">
        <v>0.842356</v>
      </c>
      <c r="I35" t="n">
        <v>0.33995</v>
      </c>
      <c r="J35" t="n">
        <v>0.7019570000000001</v>
      </c>
      <c r="K35" t="n">
        <v>0</v>
      </c>
      <c r="L35" t="n">
        <v>0.3</v>
      </c>
      <c r="M35" t="n">
        <v>0.307766</v>
      </c>
    </row>
    <row r="36">
      <c r="A36" t="inlineStr">
        <is>
          <t>base-s2</t>
        </is>
      </c>
      <c r="B36" t="n">
        <v>15</v>
      </c>
      <c r="C36" t="n">
        <v>0.21155</v>
      </c>
      <c r="D36" t="n">
        <v>0.914476</v>
      </c>
      <c r="E36" t="n">
        <v>0.222318</v>
      </c>
      <c r="F36" t="n">
        <v>0.231455</v>
      </c>
      <c r="G36" t="n">
        <v>0.907425</v>
      </c>
      <c r="H36" t="n">
        <v>0.8531609999999999</v>
      </c>
      <c r="I36" t="n">
        <v>0.339625</v>
      </c>
      <c r="J36" t="n">
        <v>0.519521</v>
      </c>
      <c r="K36" t="n">
        <v>0</v>
      </c>
      <c r="L36" t="n">
        <v>0.3</v>
      </c>
      <c r="M36" t="n">
        <v>0.309685</v>
      </c>
    </row>
    <row r="37">
      <c r="A37" t="inlineStr">
        <is>
          <t>base-s2</t>
        </is>
      </c>
      <c r="B37" t="n">
        <v>16</v>
      </c>
      <c r="C37" t="n">
        <v>0.211076</v>
      </c>
      <c r="D37" t="n">
        <v>0.9150239999999999</v>
      </c>
      <c r="E37" t="n">
        <v>0.213591</v>
      </c>
      <c r="F37" t="n">
        <v>0.234355</v>
      </c>
      <c r="G37" t="n">
        <v>0.907166</v>
      </c>
      <c r="H37" t="n">
        <v>0.851921</v>
      </c>
      <c r="I37" t="n">
        <v>0.334385</v>
      </c>
      <c r="J37" t="n">
        <v>0.569588</v>
      </c>
      <c r="K37" t="n">
        <v>0</v>
      </c>
      <c r="L37" t="n">
        <v>0.3</v>
      </c>
      <c r="M37" t="n">
        <v>0.320178</v>
      </c>
    </row>
    <row r="38">
      <c r="A38" t="inlineStr">
        <is>
          <t>base-s2</t>
        </is>
      </c>
      <c r="B38" t="n">
        <v>17</v>
      </c>
      <c r="C38" t="n">
        <v>0.20809</v>
      </c>
      <c r="D38" t="n">
        <v>0.915844</v>
      </c>
      <c r="E38" t="n">
        <v>0.213739</v>
      </c>
      <c r="F38" t="n">
        <v>0.227903</v>
      </c>
      <c r="G38" t="n">
        <v>0.909017</v>
      </c>
      <c r="H38" t="n">
        <v>0.843176</v>
      </c>
      <c r="I38" t="n">
        <v>0.336225</v>
      </c>
      <c r="J38" t="n">
        <v>0.756509</v>
      </c>
      <c r="K38" t="n">
        <v>0</v>
      </c>
      <c r="L38" t="n">
        <v>0.3</v>
      </c>
      <c r="M38" t="n">
        <v>0.305072</v>
      </c>
    </row>
    <row r="39">
      <c r="A39" t="inlineStr">
        <is>
          <t>base-s2</t>
        </is>
      </c>
      <c r="B39" t="n">
        <v>18</v>
      </c>
      <c r="C39" t="n">
        <v>0.201506</v>
      </c>
      <c r="D39" t="n">
        <v>0.92036</v>
      </c>
      <c r="E39" t="n">
        <v>0.209953</v>
      </c>
      <c r="F39" t="n">
        <v>0.225132</v>
      </c>
      <c r="G39" t="n">
        <v>0.911964</v>
      </c>
      <c r="H39" t="n">
        <v>0.857174</v>
      </c>
      <c r="I39" t="n">
        <v>0.334789</v>
      </c>
      <c r="J39" t="n">
        <v>0.6465959999999999</v>
      </c>
      <c r="K39" t="n">
        <v>0</v>
      </c>
      <c r="L39" t="n">
        <v>0.3</v>
      </c>
      <c r="M39" t="n">
        <v>0.303802</v>
      </c>
    </row>
    <row r="40">
      <c r="A40" t="inlineStr">
        <is>
          <t>base-s2</t>
        </is>
      </c>
      <c r="B40" t="n">
        <v>19</v>
      </c>
      <c r="C40" t="n">
        <v>0.19389</v>
      </c>
      <c r="D40" t="n">
        <v>0.921532</v>
      </c>
      <c r="E40" t="n">
        <v>0.207503</v>
      </c>
      <c r="F40" t="n">
        <v>0.218516</v>
      </c>
      <c r="G40" t="n">
        <v>0.912652</v>
      </c>
      <c r="H40" t="n">
        <v>0.8534350000000001</v>
      </c>
      <c r="I40" t="n">
        <v>0.334137</v>
      </c>
      <c r="J40" t="n">
        <v>0.660228</v>
      </c>
      <c r="K40" t="n">
        <v>0</v>
      </c>
      <c r="L40" t="n">
        <v>0.3</v>
      </c>
      <c r="M40" t="n">
        <v>0.307383</v>
      </c>
    </row>
    <row r="41">
      <c r="A41" t="inlineStr">
        <is>
          <t>base-s2</t>
        </is>
      </c>
      <c r="B41" t="n">
        <v>20</v>
      </c>
      <c r="C41" t="n">
        <v>0.187076</v>
      </c>
      <c r="D41" t="n">
        <v>0.924353</v>
      </c>
      <c r="E41" t="n">
        <v>0.203182</v>
      </c>
      <c r="F41" t="n">
        <v>0.21069</v>
      </c>
      <c r="G41" t="n">
        <v>0.915589</v>
      </c>
      <c r="H41" t="n">
        <v>0.870422</v>
      </c>
      <c r="I41" t="n">
        <v>0.332181</v>
      </c>
      <c r="J41" t="n">
        <v>0.469529</v>
      </c>
      <c r="K41" t="n">
        <v>0</v>
      </c>
      <c r="L41" t="n">
        <v>0.3</v>
      </c>
      <c r="M41" t="n">
        <v>0.314201</v>
      </c>
    </row>
    <row r="42">
      <c r="A42" t="inlineStr">
        <is>
          <t>base-s3</t>
        </is>
      </c>
      <c r="B42" t="n">
        <v>1</v>
      </c>
      <c r="C42" t="n">
        <v>0.432457</v>
      </c>
      <c r="D42" t="n">
        <v>0.818008</v>
      </c>
      <c r="E42" t="n">
        <v>0.51857</v>
      </c>
      <c r="F42" t="n">
        <v>0.438023</v>
      </c>
      <c r="G42" t="n">
        <v>0.813795</v>
      </c>
      <c r="H42" t="n">
        <v>0.693304</v>
      </c>
      <c r="I42" t="n">
        <v>0.379553</v>
      </c>
      <c r="J42" t="n">
        <v>3.60653</v>
      </c>
      <c r="K42" t="n">
        <v>0</v>
      </c>
      <c r="L42" t="n">
        <v>0.3</v>
      </c>
      <c r="M42" t="n">
        <v>0.298412</v>
      </c>
    </row>
    <row r="43">
      <c r="A43" t="inlineStr">
        <is>
          <t>base-s3</t>
        </is>
      </c>
      <c r="B43" t="n">
        <v>2</v>
      </c>
      <c r="C43" t="n">
        <v>0.375467</v>
      </c>
      <c r="D43" t="n">
        <v>0.845186</v>
      </c>
      <c r="E43" t="n">
        <v>0.400236</v>
      </c>
      <c r="F43" t="n">
        <v>0.38339</v>
      </c>
      <c r="G43" t="n">
        <v>0.84228</v>
      </c>
      <c r="H43" t="n">
        <v>0.732656</v>
      </c>
      <c r="I43" t="n">
        <v>0.362555</v>
      </c>
      <c r="J43" t="n">
        <v>0.6578889999999999</v>
      </c>
      <c r="K43" t="n">
        <v>0</v>
      </c>
      <c r="L43" t="n">
        <v>0.3</v>
      </c>
      <c r="M43" t="n">
        <v>0.303678</v>
      </c>
    </row>
    <row r="44">
      <c r="A44" t="inlineStr">
        <is>
          <t>base-s3</t>
        </is>
      </c>
      <c r="B44" t="n">
        <v>3</v>
      </c>
      <c r="C44" t="n">
        <v>0.334842</v>
      </c>
      <c r="D44" t="n">
        <v>0.863218</v>
      </c>
      <c r="E44" t="n">
        <v>0.35409</v>
      </c>
      <c r="F44" t="n">
        <v>0.343685</v>
      </c>
      <c r="G44" t="n">
        <v>0.858738</v>
      </c>
      <c r="H44" t="n">
        <v>0.765757</v>
      </c>
      <c r="I44" t="n">
        <v>0.36135</v>
      </c>
      <c r="J44" t="n">
        <v>0.553598</v>
      </c>
      <c r="K44" t="n">
        <v>0</v>
      </c>
      <c r="L44" t="n">
        <v>0.3</v>
      </c>
      <c r="M44" t="n">
        <v>0.314015</v>
      </c>
    </row>
    <row r="45">
      <c r="A45" t="inlineStr">
        <is>
          <t>base-s3</t>
        </is>
      </c>
      <c r="B45" t="n">
        <v>4</v>
      </c>
      <c r="C45" t="n">
        <v>0.306301</v>
      </c>
      <c r="D45" t="n">
        <v>0.873136</v>
      </c>
      <c r="E45" t="n">
        <v>0.325721</v>
      </c>
      <c r="F45" t="n">
        <v>0.316689</v>
      </c>
      <c r="G45" t="n">
        <v>0.867666</v>
      </c>
      <c r="H45" t="n">
        <v>0.7909310000000001</v>
      </c>
      <c r="I45" t="n">
        <v>0.357682</v>
      </c>
      <c r="J45" t="n">
        <v>0.583128</v>
      </c>
      <c r="K45" t="n">
        <v>0</v>
      </c>
      <c r="L45" t="n">
        <v>0.3</v>
      </c>
      <c r="M45" t="n">
        <v>0.301369</v>
      </c>
    </row>
    <row r="46">
      <c r="A46" t="inlineStr">
        <is>
          <t>base-s3</t>
        </is>
      </c>
      <c r="B46" t="n">
        <v>5</v>
      </c>
      <c r="C46" t="n">
        <v>0.300006</v>
      </c>
      <c r="D46" t="n">
        <v>0.876785</v>
      </c>
      <c r="E46" t="n">
        <v>0.303298</v>
      </c>
      <c r="F46" t="n">
        <v>0.312127</v>
      </c>
      <c r="G46" t="n">
        <v>0.871657</v>
      </c>
      <c r="H46" t="n">
        <v>0.796122</v>
      </c>
      <c r="I46" t="n">
        <v>0.352113</v>
      </c>
      <c r="J46" t="n">
        <v>0.707973</v>
      </c>
      <c r="K46" t="n">
        <v>0</v>
      </c>
      <c r="L46" t="n">
        <v>0.3</v>
      </c>
      <c r="M46" t="n">
        <v>0.30084</v>
      </c>
    </row>
    <row r="47">
      <c r="A47" t="inlineStr">
        <is>
          <t>base-s3</t>
        </is>
      </c>
      <c r="B47" t="n">
        <v>6</v>
      </c>
      <c r="C47" t="n">
        <v>0.286722</v>
      </c>
      <c r="D47" t="n">
        <v>0.883301</v>
      </c>
      <c r="E47" t="n">
        <v>0.289397</v>
      </c>
      <c r="F47" t="n">
        <v>0.301507</v>
      </c>
      <c r="G47" t="n">
        <v>0.87738</v>
      </c>
      <c r="H47" t="n">
        <v>0.797268</v>
      </c>
      <c r="I47" t="n">
        <v>0.353406</v>
      </c>
      <c r="J47" t="n">
        <v>0.584608</v>
      </c>
      <c r="K47" t="n">
        <v>0</v>
      </c>
      <c r="L47" t="n">
        <v>0.3</v>
      </c>
      <c r="M47" t="n">
        <v>0.302557</v>
      </c>
    </row>
    <row r="48">
      <c r="A48" t="inlineStr">
        <is>
          <t>base-s3</t>
        </is>
      </c>
      <c r="B48" t="n">
        <v>7</v>
      </c>
      <c r="C48" t="n">
        <v>0.262659</v>
      </c>
      <c r="D48" t="n">
        <v>0.893991</v>
      </c>
      <c r="E48" t="n">
        <v>0.277121</v>
      </c>
      <c r="F48" t="n">
        <v>0.279379</v>
      </c>
      <c r="G48" t="n">
        <v>0.887567</v>
      </c>
      <c r="H48" t="n">
        <v>0.813387</v>
      </c>
      <c r="I48" t="n">
        <v>0.350573</v>
      </c>
      <c r="J48" t="n">
        <v>0.772819</v>
      </c>
      <c r="K48" t="n">
        <v>0</v>
      </c>
      <c r="L48" t="n">
        <v>0.3</v>
      </c>
      <c r="M48" t="n">
        <v>0.302581</v>
      </c>
    </row>
    <row r="49">
      <c r="A49" t="inlineStr">
        <is>
          <t>base-s3</t>
        </is>
      </c>
      <c r="B49" t="n">
        <v>8</v>
      </c>
      <c r="C49" t="n">
        <v>0.25839</v>
      </c>
      <c r="D49" t="n">
        <v>0.895648</v>
      </c>
      <c r="E49" t="n">
        <v>0.26651</v>
      </c>
      <c r="F49" t="n">
        <v>0.274583</v>
      </c>
      <c r="G49" t="n">
        <v>0.890138</v>
      </c>
      <c r="H49" t="n">
        <v>0.8142</v>
      </c>
      <c r="I49" t="n">
        <v>0.347025</v>
      </c>
      <c r="J49" t="n">
        <v>0.663516</v>
      </c>
      <c r="K49" t="n">
        <v>0</v>
      </c>
      <c r="L49" t="n">
        <v>0.3</v>
      </c>
      <c r="M49" t="n">
        <v>0.301197</v>
      </c>
    </row>
    <row r="50">
      <c r="A50" t="inlineStr">
        <is>
          <t>base-s3</t>
        </is>
      </c>
      <c r="B50" t="n">
        <v>9</v>
      </c>
      <c r="C50" t="n">
        <v>0.261762</v>
      </c>
      <c r="D50" t="n">
        <v>0.895113</v>
      </c>
      <c r="E50" t="n">
        <v>0.256806</v>
      </c>
      <c r="F50" t="n">
        <v>0.280312</v>
      </c>
      <c r="G50" t="n">
        <v>0.888417</v>
      </c>
      <c r="H50" t="n">
        <v>0.824783</v>
      </c>
      <c r="I50" t="n">
        <v>0.346956</v>
      </c>
      <c r="J50" t="n">
        <v>0.576545</v>
      </c>
      <c r="K50" t="n">
        <v>0</v>
      </c>
      <c r="L50" t="n">
        <v>0.3</v>
      </c>
      <c r="M50" t="n">
        <v>0.299389</v>
      </c>
    </row>
    <row r="51">
      <c r="A51" t="inlineStr">
        <is>
          <t>base-s3</t>
        </is>
      </c>
      <c r="B51" t="n">
        <v>10</v>
      </c>
      <c r="C51" t="n">
        <v>0.243644</v>
      </c>
      <c r="D51" t="n">
        <v>0.900637</v>
      </c>
      <c r="E51" t="n">
        <v>0.251412</v>
      </c>
      <c r="F51" t="n">
        <v>0.26299</v>
      </c>
      <c r="G51" t="n">
        <v>0.893871</v>
      </c>
      <c r="H51" t="n">
        <v>0.830314</v>
      </c>
      <c r="I51" t="n">
        <v>0.34761</v>
      </c>
      <c r="J51" t="n">
        <v>0.656614</v>
      </c>
      <c r="K51" t="n">
        <v>0</v>
      </c>
      <c r="L51" t="n">
        <v>0.3</v>
      </c>
      <c r="M51" t="n">
        <v>0.313534</v>
      </c>
    </row>
    <row r="52">
      <c r="A52" t="inlineStr">
        <is>
          <t>base-s3</t>
        </is>
      </c>
      <c r="B52" t="n">
        <v>11</v>
      </c>
      <c r="C52" t="n">
        <v>0.238391</v>
      </c>
      <c r="D52" t="n">
        <v>0.9038929999999999</v>
      </c>
      <c r="E52" t="n">
        <v>0.242709</v>
      </c>
      <c r="F52" t="n">
        <v>0.256493</v>
      </c>
      <c r="G52" t="n">
        <v>0.897625</v>
      </c>
      <c r="H52" t="n">
        <v>0.823717</v>
      </c>
      <c r="I52" t="n">
        <v>0.343523</v>
      </c>
      <c r="J52" t="n">
        <v>0.548104</v>
      </c>
      <c r="K52" t="n">
        <v>0</v>
      </c>
      <c r="L52" t="n">
        <v>0.3</v>
      </c>
      <c r="M52" t="n">
        <v>0.299537</v>
      </c>
    </row>
    <row r="53">
      <c r="A53" t="inlineStr">
        <is>
          <t>base-s3</t>
        </is>
      </c>
      <c r="B53" t="n">
        <v>12</v>
      </c>
      <c r="C53" t="n">
        <v>0.220287</v>
      </c>
      <c r="D53" t="n">
        <v>0.910799</v>
      </c>
      <c r="E53" t="n">
        <v>0.237457</v>
      </c>
      <c r="F53" t="n">
        <v>0.240453</v>
      </c>
      <c r="G53" t="n">
        <v>0.903649</v>
      </c>
      <c r="H53" t="n">
        <v>0.852074</v>
      </c>
      <c r="I53" t="n">
        <v>0.342368</v>
      </c>
      <c r="J53" t="n">
        <v>0.621059</v>
      </c>
      <c r="K53" t="n">
        <v>0</v>
      </c>
      <c r="L53" t="n">
        <v>0.3</v>
      </c>
      <c r="M53" t="n">
        <v>0.302677</v>
      </c>
    </row>
    <row r="54">
      <c r="A54" t="inlineStr">
        <is>
          <t>base-s3</t>
        </is>
      </c>
      <c r="B54" t="n">
        <v>13</v>
      </c>
      <c r="C54" t="n">
        <v>0.226572</v>
      </c>
      <c r="D54" t="n">
        <v>0.907863</v>
      </c>
      <c r="E54" t="n">
        <v>0.232403</v>
      </c>
      <c r="F54" t="n">
        <v>0.249468</v>
      </c>
      <c r="G54" t="n">
        <v>0.899701</v>
      </c>
      <c r="H54" t="n">
        <v>0.84988</v>
      </c>
      <c r="I54" t="n">
        <v>0.338957</v>
      </c>
      <c r="J54" t="n">
        <v>0.738107</v>
      </c>
      <c r="K54" t="n">
        <v>0</v>
      </c>
      <c r="L54" t="n">
        <v>0.3</v>
      </c>
      <c r="M54" t="n">
        <v>0.303359</v>
      </c>
    </row>
    <row r="55">
      <c r="A55" t="inlineStr">
        <is>
          <t>base-s3</t>
        </is>
      </c>
      <c r="B55" t="n">
        <v>14</v>
      </c>
      <c r="C55" t="n">
        <v>0.226646</v>
      </c>
      <c r="D55" t="n">
        <v>0.9077499999999999</v>
      </c>
      <c r="E55" t="n">
        <v>0.22689</v>
      </c>
      <c r="F55" t="n">
        <v>0.246108</v>
      </c>
      <c r="G55" t="n">
        <v>0.900648</v>
      </c>
      <c r="H55" t="n">
        <v>0.848796</v>
      </c>
      <c r="I55" t="n">
        <v>0.3407</v>
      </c>
      <c r="J55" t="n">
        <v>0.501663</v>
      </c>
      <c r="K55" t="n">
        <v>0</v>
      </c>
      <c r="L55" t="n">
        <v>0.3</v>
      </c>
      <c r="M55" t="n">
        <v>0.308673</v>
      </c>
    </row>
    <row r="56">
      <c r="A56" t="inlineStr">
        <is>
          <t>base-s3</t>
        </is>
      </c>
      <c r="B56" t="n">
        <v>15</v>
      </c>
      <c r="C56" t="n">
        <v>0.219259</v>
      </c>
      <c r="D56" t="n">
        <v>0.911996</v>
      </c>
      <c r="E56" t="n">
        <v>0.223471</v>
      </c>
      <c r="F56" t="n">
        <v>0.239364</v>
      </c>
      <c r="G56" t="n">
        <v>0.905305</v>
      </c>
      <c r="H56" t="n">
        <v>0.853465</v>
      </c>
      <c r="I56" t="n">
        <v>0.33664</v>
      </c>
      <c r="J56" t="n">
        <v>0.637998</v>
      </c>
      <c r="K56" t="n">
        <v>0</v>
      </c>
      <c r="L56" t="n">
        <v>0.3</v>
      </c>
      <c r="M56" t="n">
        <v>0.301228</v>
      </c>
    </row>
    <row r="57">
      <c r="A57" t="inlineStr">
        <is>
          <t>base-s3</t>
        </is>
      </c>
      <c r="B57" t="n">
        <v>16</v>
      </c>
      <c r="C57" t="n">
        <v>0.206453</v>
      </c>
      <c r="D57" t="n">
        <v>0.916057</v>
      </c>
      <c r="E57" t="n">
        <v>0.218145</v>
      </c>
      <c r="F57" t="n">
        <v>0.229977</v>
      </c>
      <c r="G57" t="n">
        <v>0.90779</v>
      </c>
      <c r="H57" t="n">
        <v>0.858204</v>
      </c>
      <c r="I57" t="n">
        <v>0.337967</v>
      </c>
      <c r="J57" t="n">
        <v>0.612447</v>
      </c>
      <c r="K57" t="n">
        <v>0</v>
      </c>
      <c r="L57" t="n">
        <v>0.3</v>
      </c>
      <c r="M57" t="n">
        <v>0.301269</v>
      </c>
    </row>
    <row r="58">
      <c r="A58" t="inlineStr">
        <is>
          <t>base-s3</t>
        </is>
      </c>
      <c r="B58" t="n">
        <v>17</v>
      </c>
      <c r="C58" t="n">
        <v>0.209683</v>
      </c>
      <c r="D58" t="n">
        <v>0.916463</v>
      </c>
      <c r="E58" t="n">
        <v>0.215285</v>
      </c>
      <c r="F58" t="n">
        <v>0.231279</v>
      </c>
      <c r="G58" t="n">
        <v>0.909544</v>
      </c>
      <c r="H58" t="n">
        <v>0.855077</v>
      </c>
      <c r="I58" t="n">
        <v>0.336225</v>
      </c>
      <c r="J58" t="n">
        <v>0.468738</v>
      </c>
      <c r="K58" t="n">
        <v>0</v>
      </c>
      <c r="L58" t="n">
        <v>0.3</v>
      </c>
      <c r="M58" t="n">
        <v>0.304129</v>
      </c>
    </row>
    <row r="59">
      <c r="A59" t="inlineStr">
        <is>
          <t>base-s3</t>
        </is>
      </c>
      <c r="B59" t="n">
        <v>18</v>
      </c>
      <c r="C59" t="n">
        <v>0.210499</v>
      </c>
      <c r="D59" t="n">
        <v>0.914965</v>
      </c>
      <c r="E59" t="n">
        <v>0.213658</v>
      </c>
      <c r="F59" t="n">
        <v>0.235498</v>
      </c>
      <c r="G59" t="n">
        <v>0.906026</v>
      </c>
      <c r="H59" t="n">
        <v>0.85376</v>
      </c>
      <c r="I59" t="n">
        <v>0.337054</v>
      </c>
      <c r="J59" t="n">
        <v>0.56412</v>
      </c>
      <c r="K59" t="n">
        <v>0</v>
      </c>
      <c r="L59" t="n">
        <v>0.3</v>
      </c>
      <c r="M59" t="n">
        <v>0.299658</v>
      </c>
    </row>
    <row r="60">
      <c r="A60" t="inlineStr">
        <is>
          <t>base-s3</t>
        </is>
      </c>
      <c r="B60" t="n">
        <v>19</v>
      </c>
      <c r="C60" t="n">
        <v>0.199455</v>
      </c>
      <c r="D60" t="n">
        <v>0.919053</v>
      </c>
      <c r="E60" t="n">
        <v>0.209509</v>
      </c>
      <c r="F60" t="n">
        <v>0.223585</v>
      </c>
      <c r="G60" t="n">
        <v>0.910985</v>
      </c>
      <c r="H60" t="n">
        <v>0.856257</v>
      </c>
      <c r="I60" t="n">
        <v>0.336362</v>
      </c>
      <c r="J60" t="n">
        <v>0.615737</v>
      </c>
      <c r="K60" t="n">
        <v>0</v>
      </c>
      <c r="L60" t="n">
        <v>0.3</v>
      </c>
      <c r="M60" t="n">
        <v>0.302717</v>
      </c>
    </row>
    <row r="61">
      <c r="A61" t="inlineStr">
        <is>
          <t>base-s3</t>
        </is>
      </c>
      <c r="B61" t="n">
        <v>20</v>
      </c>
      <c r="C61" t="n">
        <v>0.192888</v>
      </c>
      <c r="D61" t="n">
        <v>0.922616</v>
      </c>
      <c r="E61" t="n">
        <v>0.20613</v>
      </c>
      <c r="F61" t="n">
        <v>0.218344</v>
      </c>
      <c r="G61" t="n">
        <v>0.9143520000000001</v>
      </c>
      <c r="H61" t="n">
        <v>0.867749</v>
      </c>
      <c r="I61" t="n">
        <v>0.334295</v>
      </c>
      <c r="J61" t="n">
        <v>0.477336</v>
      </c>
      <c r="K61" t="n">
        <v>0</v>
      </c>
      <c r="L61" t="n">
        <v>0.3</v>
      </c>
      <c r="M61" t="n">
        <v>0.300977</v>
      </c>
    </row>
    <row r="62">
      <c r="A62" t="inlineStr">
        <is>
          <t>base-s4</t>
        </is>
      </c>
      <c r="B62" t="n">
        <v>1</v>
      </c>
      <c r="C62" t="n">
        <v>0.434835</v>
      </c>
      <c r="D62" t="n">
        <v>0.814047</v>
      </c>
      <c r="E62" t="n">
        <v>0.519584</v>
      </c>
      <c r="F62" t="n">
        <v>0.441293</v>
      </c>
      <c r="G62" t="n">
        <v>0.811708</v>
      </c>
      <c r="H62" t="n">
        <v>0.656859</v>
      </c>
      <c r="I62" t="n">
        <v>0.382891</v>
      </c>
      <c r="J62" t="n">
        <v>2.914826</v>
      </c>
      <c r="K62" t="n">
        <v>0</v>
      </c>
      <c r="L62" t="n">
        <v>0.3</v>
      </c>
      <c r="M62" t="n">
        <v>0.300959</v>
      </c>
    </row>
    <row r="63">
      <c r="A63" t="inlineStr">
        <is>
          <t>base-s4</t>
        </is>
      </c>
      <c r="B63" t="n">
        <v>2</v>
      </c>
      <c r="C63" t="n">
        <v>0.350602</v>
      </c>
      <c r="D63" t="n">
        <v>0.85536</v>
      </c>
      <c r="E63" t="n">
        <v>0.400432</v>
      </c>
      <c r="F63" t="n">
        <v>0.35693</v>
      </c>
      <c r="G63" t="n">
        <v>0.851778</v>
      </c>
      <c r="H63" t="n">
        <v>0.754408</v>
      </c>
      <c r="I63" t="n">
        <v>0.365132</v>
      </c>
      <c r="J63" t="n">
        <v>0.670163</v>
      </c>
      <c r="K63" t="n">
        <v>0</v>
      </c>
      <c r="L63" t="n">
        <v>0.3</v>
      </c>
      <c r="M63" t="n">
        <v>0.307886</v>
      </c>
    </row>
    <row r="64">
      <c r="A64" t="inlineStr">
        <is>
          <t>base-s4</t>
        </is>
      </c>
      <c r="B64" t="n">
        <v>3</v>
      </c>
      <c r="C64" t="n">
        <v>0.344907</v>
      </c>
      <c r="D64" t="n">
        <v>0.855723</v>
      </c>
      <c r="E64" t="n">
        <v>0.357185</v>
      </c>
      <c r="F64" t="n">
        <v>0.352012</v>
      </c>
      <c r="G64" t="n">
        <v>0.852918</v>
      </c>
      <c r="H64" t="n">
        <v>0.759776</v>
      </c>
      <c r="I64" t="n">
        <v>0.366119</v>
      </c>
      <c r="J64" t="n">
        <v>0.565903</v>
      </c>
      <c r="K64" t="n">
        <v>0</v>
      </c>
      <c r="L64" t="n">
        <v>0.3</v>
      </c>
      <c r="M64" t="n">
        <v>0.304492</v>
      </c>
    </row>
    <row r="65">
      <c r="A65" t="inlineStr">
        <is>
          <t>base-s4</t>
        </is>
      </c>
      <c r="B65" t="n">
        <v>4</v>
      </c>
      <c r="C65" t="n">
        <v>0.310929</v>
      </c>
      <c r="D65" t="n">
        <v>0.872251</v>
      </c>
      <c r="E65" t="n">
        <v>0.330718</v>
      </c>
      <c r="F65" t="n">
        <v>0.320909</v>
      </c>
      <c r="G65" t="n">
        <v>0.868634</v>
      </c>
      <c r="H65" t="n">
        <v>0.791002</v>
      </c>
      <c r="I65" t="n">
        <v>0.364482</v>
      </c>
      <c r="J65" t="n">
        <v>0.617942</v>
      </c>
      <c r="K65" t="n">
        <v>0</v>
      </c>
      <c r="L65" t="n">
        <v>0.3</v>
      </c>
      <c r="M65" t="n">
        <v>0.308295</v>
      </c>
    </row>
    <row r="66">
      <c r="A66" t="inlineStr">
        <is>
          <t>base-s4</t>
        </is>
      </c>
      <c r="B66" t="n">
        <v>5</v>
      </c>
      <c r="C66" t="n">
        <v>0.285093</v>
      </c>
      <c r="D66" t="n">
        <v>0.882616</v>
      </c>
      <c r="E66" t="n">
        <v>0.308901</v>
      </c>
      <c r="F66" t="n">
        <v>0.296119</v>
      </c>
      <c r="G66" t="n">
        <v>0.878337</v>
      </c>
      <c r="H66" t="n">
        <v>0.81632</v>
      </c>
      <c r="I66" t="n">
        <v>0.359634</v>
      </c>
      <c r="J66" t="n">
        <v>0.587148</v>
      </c>
      <c r="K66" t="n">
        <v>0</v>
      </c>
      <c r="L66" t="n">
        <v>0.3</v>
      </c>
      <c r="M66" t="n">
        <v>0.302993</v>
      </c>
    </row>
    <row r="67">
      <c r="A67" t="inlineStr">
        <is>
          <t>base-s4</t>
        </is>
      </c>
      <c r="B67" t="n">
        <v>6</v>
      </c>
      <c r="C67" t="n">
        <v>0.284618</v>
      </c>
      <c r="D67" t="n">
        <v>0.882094</v>
      </c>
      <c r="E67" t="n">
        <v>0.292398</v>
      </c>
      <c r="F67" t="n">
        <v>0.300897</v>
      </c>
      <c r="G67" t="n">
        <v>0.877176</v>
      </c>
      <c r="H67" t="n">
        <v>0.798148</v>
      </c>
      <c r="I67" t="n">
        <v>0.354919</v>
      </c>
      <c r="J67" t="n">
        <v>0.518578</v>
      </c>
      <c r="K67" t="n">
        <v>0</v>
      </c>
      <c r="L67" t="n">
        <v>0.3</v>
      </c>
      <c r="M67" t="n">
        <v>0.300668</v>
      </c>
    </row>
    <row r="68">
      <c r="A68" t="inlineStr">
        <is>
          <t>base-s4</t>
        </is>
      </c>
      <c r="B68" t="n">
        <v>7</v>
      </c>
      <c r="C68" t="n">
        <v>0.269226</v>
      </c>
      <c r="D68" t="n">
        <v>0.891428</v>
      </c>
      <c r="E68" t="n">
        <v>0.279467</v>
      </c>
      <c r="F68" t="n">
        <v>0.284044</v>
      </c>
      <c r="G68" t="n">
        <v>0.884856</v>
      </c>
      <c r="H68" t="n">
        <v>0.816509</v>
      </c>
      <c r="I68" t="n">
        <v>0.35219</v>
      </c>
      <c r="J68" t="n">
        <v>0.622174</v>
      </c>
      <c r="K68" t="n">
        <v>0</v>
      </c>
      <c r="L68" t="n">
        <v>0.3</v>
      </c>
      <c r="M68" t="n">
        <v>0.304686</v>
      </c>
    </row>
    <row r="69">
      <c r="A69" t="inlineStr">
        <is>
          <t>base-s4</t>
        </is>
      </c>
      <c r="B69" t="n">
        <v>8</v>
      </c>
      <c r="C69" t="n">
        <v>0.257505</v>
      </c>
      <c r="D69" t="n">
        <v>0.895153</v>
      </c>
      <c r="E69" t="n">
        <v>0.269449</v>
      </c>
      <c r="F69" t="n">
        <v>0.273968</v>
      </c>
      <c r="G69" t="n">
        <v>0.889449</v>
      </c>
      <c r="H69" t="n">
        <v>0.823705</v>
      </c>
      <c r="I69" t="n">
        <v>0.352474</v>
      </c>
      <c r="J69" t="n">
        <v>0.678171</v>
      </c>
      <c r="K69" t="n">
        <v>0</v>
      </c>
      <c r="L69" t="n">
        <v>0.3</v>
      </c>
      <c r="M69" t="n">
        <v>0.310603</v>
      </c>
    </row>
    <row r="70">
      <c r="A70" t="inlineStr">
        <is>
          <t>base-s4</t>
        </is>
      </c>
      <c r="B70" t="n">
        <v>9</v>
      </c>
      <c r="C70" t="n">
        <v>0.264119</v>
      </c>
      <c r="D70" t="n">
        <v>0.891722</v>
      </c>
      <c r="E70" t="n">
        <v>0.26133</v>
      </c>
      <c r="F70" t="n">
        <v>0.282467</v>
      </c>
      <c r="G70" t="n">
        <v>0.886158</v>
      </c>
      <c r="H70" t="n">
        <v>0.815326</v>
      </c>
      <c r="I70" t="n">
        <v>0.354317</v>
      </c>
      <c r="J70" t="n">
        <v>0.923609</v>
      </c>
      <c r="K70" t="n">
        <v>0</v>
      </c>
      <c r="L70" t="n">
        <v>0.3</v>
      </c>
      <c r="M70" t="n">
        <v>0.303419</v>
      </c>
    </row>
    <row r="71">
      <c r="A71" t="inlineStr">
        <is>
          <t>base-s4</t>
        </is>
      </c>
      <c r="B71" t="n">
        <v>10</v>
      </c>
      <c r="C71" t="n">
        <v>0.235542</v>
      </c>
      <c r="D71" t="n">
        <v>0.903971</v>
      </c>
      <c r="E71" t="n">
        <v>0.252632</v>
      </c>
      <c r="F71" t="n">
        <v>0.254546</v>
      </c>
      <c r="G71" t="n">
        <v>0.896904</v>
      </c>
      <c r="H71" t="n">
        <v>0.8334589999999999</v>
      </c>
      <c r="I71" t="n">
        <v>0.347352</v>
      </c>
      <c r="J71" t="n">
        <v>0.581731</v>
      </c>
      <c r="K71" t="n">
        <v>0</v>
      </c>
      <c r="L71" t="n">
        <v>0.3</v>
      </c>
      <c r="M71" t="n">
        <v>0.314789</v>
      </c>
    </row>
    <row r="72">
      <c r="A72" t="inlineStr">
        <is>
          <t>base-s4</t>
        </is>
      </c>
      <c r="B72" t="n">
        <v>11</v>
      </c>
      <c r="C72" t="n">
        <v>0.230531</v>
      </c>
      <c r="D72" t="n">
        <v>0.905558</v>
      </c>
      <c r="E72" t="n">
        <v>0.246094</v>
      </c>
      <c r="F72" t="n">
        <v>0.248059</v>
      </c>
      <c r="G72" t="n">
        <v>0.898668</v>
      </c>
      <c r="H72" t="n">
        <v>0.8491</v>
      </c>
      <c r="I72" t="n">
        <v>0.349171</v>
      </c>
      <c r="J72" t="n">
        <v>0.816205</v>
      </c>
      <c r="K72" t="n">
        <v>0</v>
      </c>
      <c r="L72" t="n">
        <v>0.3</v>
      </c>
      <c r="M72" t="n">
        <v>0.306553</v>
      </c>
    </row>
    <row r="73">
      <c r="A73" t="inlineStr">
        <is>
          <t>base-s4</t>
        </is>
      </c>
      <c r="B73" t="n">
        <v>12</v>
      </c>
      <c r="C73" t="n">
        <v>0.228812</v>
      </c>
      <c r="D73" t="n">
        <v>0.907865</v>
      </c>
      <c r="E73" t="n">
        <v>0.241356</v>
      </c>
      <c r="F73" t="n">
        <v>0.246823</v>
      </c>
      <c r="G73" t="n">
        <v>0.900626</v>
      </c>
      <c r="H73" t="n">
        <v>0.848558</v>
      </c>
      <c r="I73" t="n">
        <v>0.34838</v>
      </c>
      <c r="J73" t="n">
        <v>0.543347</v>
      </c>
      <c r="K73" t="n">
        <v>0</v>
      </c>
      <c r="L73" t="n">
        <v>0.3</v>
      </c>
      <c r="M73" t="n">
        <v>0.313228</v>
      </c>
    </row>
    <row r="74">
      <c r="A74" t="inlineStr">
        <is>
          <t>base-s4</t>
        </is>
      </c>
      <c r="B74" t="n">
        <v>13</v>
      </c>
      <c r="C74" t="n">
        <v>0.220106</v>
      </c>
      <c r="D74" t="n">
        <v>0.909482</v>
      </c>
      <c r="E74" t="n">
        <v>0.233926</v>
      </c>
      <c r="F74" t="n">
        <v>0.239187</v>
      </c>
      <c r="G74" t="n">
        <v>0.902164</v>
      </c>
      <c r="H74" t="n">
        <v>0.843336</v>
      </c>
      <c r="I74" t="n">
        <v>0.343426</v>
      </c>
      <c r="J74" t="n">
        <v>0.662005</v>
      </c>
      <c r="K74" t="n">
        <v>0</v>
      </c>
      <c r="L74" t="n">
        <v>0.3</v>
      </c>
      <c r="M74" t="n">
        <v>0.305149</v>
      </c>
    </row>
    <row r="75">
      <c r="A75" t="inlineStr">
        <is>
          <t>base-s4</t>
        </is>
      </c>
      <c r="B75" t="n">
        <v>14</v>
      </c>
      <c r="C75" t="n">
        <v>0.220295</v>
      </c>
      <c r="D75" t="n">
        <v>0.91116</v>
      </c>
      <c r="E75" t="n">
        <v>0.228886</v>
      </c>
      <c r="F75" t="n">
        <v>0.240551</v>
      </c>
      <c r="G75" t="n">
        <v>0.90452</v>
      </c>
      <c r="H75" t="n">
        <v>0.848642</v>
      </c>
      <c r="I75" t="n">
        <v>0.34398</v>
      </c>
      <c r="J75" t="n">
        <v>0.716724</v>
      </c>
      <c r="K75" t="n">
        <v>0</v>
      </c>
      <c r="L75" t="n">
        <v>0.3</v>
      </c>
      <c r="M75" t="n">
        <v>0.314694</v>
      </c>
    </row>
    <row r="76">
      <c r="A76" t="inlineStr">
        <is>
          <t>base-s4</t>
        </is>
      </c>
      <c r="B76" t="n">
        <v>15</v>
      </c>
      <c r="C76" t="n">
        <v>0.226999</v>
      </c>
      <c r="D76" t="n">
        <v>0.908801</v>
      </c>
      <c r="E76" t="n">
        <v>0.224355</v>
      </c>
      <c r="F76" t="n">
        <v>0.250898</v>
      </c>
      <c r="G76" t="n">
        <v>0.9022289999999999</v>
      </c>
      <c r="H76" t="n">
        <v>0.840342</v>
      </c>
      <c r="I76" t="n">
        <v>0.342448</v>
      </c>
      <c r="J76" t="n">
        <v>0.634973</v>
      </c>
      <c r="K76" t="n">
        <v>0</v>
      </c>
      <c r="L76" t="n">
        <v>0.3</v>
      </c>
      <c r="M76" t="n">
        <v>0.314064</v>
      </c>
    </row>
    <row r="77">
      <c r="A77" t="inlineStr">
        <is>
          <t>base-s4</t>
        </is>
      </c>
      <c r="B77" t="n">
        <v>16</v>
      </c>
      <c r="C77" t="n">
        <v>0.209614</v>
      </c>
      <c r="D77" t="n">
        <v>0.914266</v>
      </c>
      <c r="E77" t="n">
        <v>0.222153</v>
      </c>
      <c r="F77" t="n">
        <v>0.232699</v>
      </c>
      <c r="G77" t="n">
        <v>0.905295</v>
      </c>
      <c r="H77" t="n">
        <v>0.85331</v>
      </c>
      <c r="I77" t="n">
        <v>0.342744</v>
      </c>
      <c r="J77" t="n">
        <v>0.6833090000000001</v>
      </c>
      <c r="K77" t="n">
        <v>0</v>
      </c>
      <c r="L77" t="n">
        <v>0.3</v>
      </c>
      <c r="M77" t="n">
        <v>0.308079</v>
      </c>
    </row>
    <row r="78">
      <c r="A78" t="inlineStr">
        <is>
          <t>base-s4</t>
        </is>
      </c>
      <c r="B78" t="n">
        <v>17</v>
      </c>
      <c r="C78" t="n">
        <v>0.207892</v>
      </c>
      <c r="D78" t="n">
        <v>0.916428</v>
      </c>
      <c r="E78" t="n">
        <v>0.216843</v>
      </c>
      <c r="F78" t="n">
        <v>0.229574</v>
      </c>
      <c r="G78" t="n">
        <v>0.9095220000000001</v>
      </c>
      <c r="H78" t="n">
        <v>0.85398</v>
      </c>
      <c r="I78" t="n">
        <v>0.33984</v>
      </c>
      <c r="J78" t="n">
        <v>0.484154</v>
      </c>
      <c r="K78" t="n">
        <v>0</v>
      </c>
      <c r="L78" t="n">
        <v>0.3</v>
      </c>
      <c r="M78" t="n">
        <v>0.302541</v>
      </c>
    </row>
    <row r="79">
      <c r="A79" t="inlineStr">
        <is>
          <t>base-s4</t>
        </is>
      </c>
      <c r="B79" t="n">
        <v>18</v>
      </c>
      <c r="C79" t="n">
        <v>0.215879</v>
      </c>
      <c r="D79" t="n">
        <v>0.913658</v>
      </c>
      <c r="E79" t="n">
        <v>0.214159</v>
      </c>
      <c r="F79" t="n">
        <v>0.239495</v>
      </c>
      <c r="G79" t="n">
        <v>0.905897</v>
      </c>
      <c r="H79" t="n">
        <v>0.822549</v>
      </c>
      <c r="I79" t="n">
        <v>0.342814</v>
      </c>
      <c r="J79" t="n">
        <v>0.66632</v>
      </c>
      <c r="K79" t="n">
        <v>0</v>
      </c>
      <c r="L79" t="n">
        <v>0.3</v>
      </c>
      <c r="M79" t="n">
        <v>0.304498</v>
      </c>
    </row>
    <row r="80">
      <c r="A80" t="inlineStr">
        <is>
          <t>base-s4</t>
        </is>
      </c>
      <c r="B80" t="n">
        <v>19</v>
      </c>
      <c r="C80" t="n">
        <v>0.200228</v>
      </c>
      <c r="D80" t="n">
        <v>0.919085</v>
      </c>
      <c r="E80" t="n">
        <v>0.211276</v>
      </c>
      <c r="F80" t="n">
        <v>0.222024</v>
      </c>
      <c r="G80" t="n">
        <v>0.910996</v>
      </c>
      <c r="H80" t="n">
        <v>0.854699</v>
      </c>
      <c r="I80" t="n">
        <v>0.341137</v>
      </c>
      <c r="J80" t="n">
        <v>0.584314</v>
      </c>
      <c r="K80" t="n">
        <v>0</v>
      </c>
      <c r="L80" t="n">
        <v>0.3</v>
      </c>
      <c r="M80" t="n">
        <v>0.320018</v>
      </c>
    </row>
    <row r="81">
      <c r="A81" t="inlineStr">
        <is>
          <t>base-s4</t>
        </is>
      </c>
      <c r="B81" t="n">
        <v>20</v>
      </c>
      <c r="C81" t="n">
        <v>0.197121</v>
      </c>
      <c r="D81" t="n">
        <v>0.920911</v>
      </c>
      <c r="E81" t="n">
        <v>0.2085</v>
      </c>
      <c r="F81" t="n">
        <v>0.222256</v>
      </c>
      <c r="G81" t="n">
        <v>0.912308</v>
      </c>
      <c r="H81" t="n">
        <v>0.857371</v>
      </c>
      <c r="I81" t="n">
        <v>0.338411</v>
      </c>
      <c r="J81" t="n">
        <v>0.585396</v>
      </c>
      <c r="K81" t="n">
        <v>0</v>
      </c>
      <c r="L81" t="n">
        <v>0.3</v>
      </c>
      <c r="M81" t="n">
        <v>0.306906</v>
      </c>
    </row>
    <row r="82">
      <c r="A82" t="inlineStr">
        <is>
          <t>base-s5</t>
        </is>
      </c>
      <c r="B82" t="n">
        <v>1</v>
      </c>
      <c r="C82" t="n">
        <v>0.453224</v>
      </c>
      <c r="D82" t="n">
        <v>0.806095</v>
      </c>
      <c r="E82" t="n">
        <v>0.521367</v>
      </c>
      <c r="F82" t="n">
        <v>0.459785</v>
      </c>
      <c r="G82" t="n">
        <v>0.803188</v>
      </c>
      <c r="H82" t="n">
        <v>0.653968</v>
      </c>
      <c r="I82" t="n">
        <v>0.385064</v>
      </c>
      <c r="J82" t="n">
        <v>2.865158</v>
      </c>
      <c r="K82" t="n">
        <v>0</v>
      </c>
      <c r="L82" t="n">
        <v>0.3</v>
      </c>
      <c r="M82" t="n">
        <v>0.297959</v>
      </c>
    </row>
    <row r="83">
      <c r="A83" t="inlineStr">
        <is>
          <t>base-s5</t>
        </is>
      </c>
      <c r="B83" t="n">
        <v>2</v>
      </c>
      <c r="C83" t="n">
        <v>0.404109</v>
      </c>
      <c r="D83" t="n">
        <v>0.827582</v>
      </c>
      <c r="E83" t="n">
        <v>0.405592</v>
      </c>
      <c r="F83" t="n">
        <v>0.409729</v>
      </c>
      <c r="G83" t="n">
        <v>0.824778</v>
      </c>
      <c r="H83" t="n">
        <v>0.721621</v>
      </c>
      <c r="I83" t="n">
        <v>0.369592</v>
      </c>
      <c r="J83" t="n">
        <v>0.682246</v>
      </c>
      <c r="K83" t="n">
        <v>0</v>
      </c>
      <c r="L83" t="n">
        <v>0.3</v>
      </c>
      <c r="M83" t="n">
        <v>0.313479</v>
      </c>
    </row>
    <row r="84">
      <c r="A84" t="inlineStr">
        <is>
          <t>base-s5</t>
        </is>
      </c>
      <c r="B84" t="n">
        <v>3</v>
      </c>
      <c r="C84" t="n">
        <v>0.345653</v>
      </c>
      <c r="D84" t="n">
        <v>0.854505</v>
      </c>
      <c r="E84" t="n">
        <v>0.359285</v>
      </c>
      <c r="F84" t="n">
        <v>0.354897</v>
      </c>
      <c r="G84" t="n">
        <v>0.852639</v>
      </c>
      <c r="H84" t="n">
        <v>0.761663</v>
      </c>
      <c r="I84" t="n">
        <v>0.359376</v>
      </c>
      <c r="J84" t="n">
        <v>0.634888</v>
      </c>
      <c r="K84" t="n">
        <v>0</v>
      </c>
      <c r="L84" t="n">
        <v>0.3</v>
      </c>
      <c r="M84" t="n">
        <v>0.325934</v>
      </c>
    </row>
    <row r="85">
      <c r="A85" t="inlineStr">
        <is>
          <t>base-s5</t>
        </is>
      </c>
      <c r="B85" t="n">
        <v>4</v>
      </c>
      <c r="C85" t="n">
        <v>0.32093</v>
      </c>
      <c r="D85" t="n">
        <v>0.867515</v>
      </c>
      <c r="E85" t="n">
        <v>0.329325</v>
      </c>
      <c r="F85" t="n">
        <v>0.333152</v>
      </c>
      <c r="G85" t="n">
        <v>0.863374</v>
      </c>
      <c r="H85" t="n">
        <v>0.775607</v>
      </c>
      <c r="I85" t="n">
        <v>0.35898</v>
      </c>
      <c r="J85" t="n">
        <v>0.715787</v>
      </c>
      <c r="K85" t="n">
        <v>0</v>
      </c>
      <c r="L85" t="n">
        <v>0.3</v>
      </c>
      <c r="M85" t="n">
        <v>0.314539</v>
      </c>
    </row>
    <row r="86">
      <c r="A86" t="inlineStr">
        <is>
          <t>base-s5</t>
        </is>
      </c>
      <c r="B86" t="n">
        <v>5</v>
      </c>
      <c r="C86" t="n">
        <v>0.302974</v>
      </c>
      <c r="D86" t="n">
        <v>0.874949</v>
      </c>
      <c r="E86" t="n">
        <v>0.305067</v>
      </c>
      <c r="F86" t="n">
        <v>0.31542</v>
      </c>
      <c r="G86" t="n">
        <v>0.87098</v>
      </c>
      <c r="H86" t="n">
        <v>0.781992</v>
      </c>
      <c r="I86" t="n">
        <v>0.351553</v>
      </c>
      <c r="J86" t="n">
        <v>0.704993</v>
      </c>
      <c r="K86" t="n">
        <v>0</v>
      </c>
      <c r="L86" t="n">
        <v>0.3</v>
      </c>
      <c r="M86" t="n">
        <v>0.307279</v>
      </c>
    </row>
    <row r="87">
      <c r="A87" t="inlineStr">
        <is>
          <t>base-s5</t>
        </is>
      </c>
      <c r="B87" t="n">
        <v>6</v>
      </c>
      <c r="C87" t="n">
        <v>0.272059</v>
      </c>
      <c r="D87" t="n">
        <v>0.888174</v>
      </c>
      <c r="E87" t="n">
        <v>0.291151</v>
      </c>
      <c r="F87" t="n">
        <v>0.284736</v>
      </c>
      <c r="G87" t="n">
        <v>0.883458</v>
      </c>
      <c r="H87" t="n">
        <v>0.805415</v>
      </c>
      <c r="I87" t="n">
        <v>0.351736</v>
      </c>
      <c r="J87" t="n">
        <v>0.624934</v>
      </c>
      <c r="K87" t="n">
        <v>0</v>
      </c>
      <c r="L87" t="n">
        <v>0.3</v>
      </c>
      <c r="M87" t="n">
        <v>0.312689</v>
      </c>
    </row>
    <row r="88">
      <c r="A88" t="inlineStr">
        <is>
          <t>base-s5</t>
        </is>
      </c>
      <c r="B88" t="n">
        <v>7</v>
      </c>
      <c r="C88" t="n">
        <v>0.265145</v>
      </c>
      <c r="D88" t="n">
        <v>0.891646</v>
      </c>
      <c r="E88" t="n">
        <v>0.277113</v>
      </c>
      <c r="F88" t="n">
        <v>0.277048</v>
      </c>
      <c r="G88" t="n">
        <v>0.887836</v>
      </c>
      <c r="H88" t="n">
        <v>0.815035</v>
      </c>
      <c r="I88" t="n">
        <v>0.347346</v>
      </c>
      <c r="J88" t="n">
        <v>0.628895</v>
      </c>
      <c r="K88" t="n">
        <v>0</v>
      </c>
      <c r="L88" t="n">
        <v>0.3</v>
      </c>
      <c r="M88" t="n">
        <v>0.301997</v>
      </c>
    </row>
    <row r="89">
      <c r="A89" t="inlineStr">
        <is>
          <t>base-s5</t>
        </is>
      </c>
      <c r="B89" t="n">
        <v>8</v>
      </c>
      <c r="C89" t="n">
        <v>0.267419</v>
      </c>
      <c r="D89" t="n">
        <v>0.889549</v>
      </c>
      <c r="E89" t="n">
        <v>0.26648</v>
      </c>
      <c r="F89" t="n">
        <v>0.284304</v>
      </c>
      <c r="G89" t="n">
        <v>0.8829090000000001</v>
      </c>
      <c r="H89" t="n">
        <v>0.8218839999999999</v>
      </c>
      <c r="I89" t="n">
        <v>0.347093</v>
      </c>
      <c r="J89" t="n">
        <v>0.722987</v>
      </c>
      <c r="K89" t="n">
        <v>0</v>
      </c>
      <c r="L89" t="n">
        <v>0.3</v>
      </c>
      <c r="M89" t="n">
        <v>0.321971</v>
      </c>
    </row>
    <row r="90">
      <c r="A90" t="inlineStr">
        <is>
          <t>base-s5</t>
        </is>
      </c>
      <c r="B90" t="n">
        <v>9</v>
      </c>
      <c r="C90" t="n">
        <v>0.240453</v>
      </c>
      <c r="D90" t="n">
        <v>0.902667</v>
      </c>
      <c r="E90" t="n">
        <v>0.258126</v>
      </c>
      <c r="F90" t="n">
        <v>0.256249</v>
      </c>
      <c r="G90" t="n">
        <v>0.896667</v>
      </c>
      <c r="H90" t="n">
        <v>0.829387</v>
      </c>
      <c r="I90" t="n">
        <v>0.346497</v>
      </c>
      <c r="J90" t="n">
        <v>0.619202</v>
      </c>
      <c r="K90" t="n">
        <v>0</v>
      </c>
      <c r="L90" t="n">
        <v>0.3</v>
      </c>
      <c r="M90" t="n">
        <v>0.311041</v>
      </c>
    </row>
    <row r="91">
      <c r="A91" t="inlineStr">
        <is>
          <t>base-s5</t>
        </is>
      </c>
      <c r="B91" t="n">
        <v>10</v>
      </c>
      <c r="C91" t="n">
        <v>0.237117</v>
      </c>
      <c r="D91" t="n">
        <v>0.9042210000000001</v>
      </c>
      <c r="E91" t="n">
        <v>0.250633</v>
      </c>
      <c r="F91" t="n">
        <v>0.256433</v>
      </c>
      <c r="G91" t="n">
        <v>0.897657</v>
      </c>
      <c r="H91" t="n">
        <v>0.827943</v>
      </c>
      <c r="I91" t="n">
        <v>0.342525</v>
      </c>
      <c r="J91" t="n">
        <v>0.546465</v>
      </c>
      <c r="K91" t="n">
        <v>0</v>
      </c>
      <c r="L91" t="n">
        <v>0.3</v>
      </c>
      <c r="M91" t="n">
        <v>0.302727</v>
      </c>
    </row>
    <row r="92">
      <c r="A92" t="inlineStr">
        <is>
          <t>base-s5</t>
        </is>
      </c>
      <c r="B92" t="n">
        <v>11</v>
      </c>
      <c r="C92" t="n">
        <v>0.238106</v>
      </c>
      <c r="D92" t="n">
        <v>0.903928</v>
      </c>
      <c r="E92" t="n">
        <v>0.242883</v>
      </c>
      <c r="F92" t="n">
        <v>0.256771</v>
      </c>
      <c r="G92" t="n">
        <v>0.898163</v>
      </c>
      <c r="H92" t="n">
        <v>0.826861</v>
      </c>
      <c r="I92" t="n">
        <v>0.339739</v>
      </c>
      <c r="J92" t="n">
        <v>0.762867</v>
      </c>
      <c r="K92" t="n">
        <v>0</v>
      </c>
      <c r="L92" t="n">
        <v>0.3</v>
      </c>
      <c r="M92" t="n">
        <v>0.301572</v>
      </c>
    </row>
    <row r="93">
      <c r="A93" t="inlineStr">
        <is>
          <t>base-s5</t>
        </is>
      </c>
      <c r="B93" t="n">
        <v>12</v>
      </c>
      <c r="C93" t="n">
        <v>0.237523</v>
      </c>
      <c r="D93" t="n">
        <v>0.9031670000000001</v>
      </c>
      <c r="E93" t="n">
        <v>0.238411</v>
      </c>
      <c r="F93" t="n">
        <v>0.258577</v>
      </c>
      <c r="G93" t="n">
        <v>0.896775</v>
      </c>
      <c r="H93" t="n">
        <v>0.823807</v>
      </c>
      <c r="I93" t="n">
        <v>0.341644</v>
      </c>
      <c r="J93" t="n">
        <v>0.740942</v>
      </c>
      <c r="K93" t="n">
        <v>0</v>
      </c>
      <c r="L93" t="n">
        <v>0.3</v>
      </c>
      <c r="M93" t="n">
        <v>0.306039</v>
      </c>
    </row>
    <row r="94">
      <c r="A94" t="inlineStr">
        <is>
          <t>base-s5</t>
        </is>
      </c>
      <c r="B94" t="n">
        <v>13</v>
      </c>
      <c r="C94" t="n">
        <v>0.22627</v>
      </c>
      <c r="D94" t="n">
        <v>0.908</v>
      </c>
      <c r="E94" t="n">
        <v>0.233792</v>
      </c>
      <c r="F94" t="n">
        <v>0.244341</v>
      </c>
      <c r="G94" t="n">
        <v>0.902498</v>
      </c>
      <c r="H94" t="n">
        <v>0.8456050000000001</v>
      </c>
      <c r="I94" t="n">
        <v>0.342065</v>
      </c>
      <c r="J94" t="n">
        <v>0.606344</v>
      </c>
      <c r="K94" t="n">
        <v>0</v>
      </c>
      <c r="L94" t="n">
        <v>0.3</v>
      </c>
      <c r="M94" t="n">
        <v>0.30909</v>
      </c>
    </row>
    <row r="95">
      <c r="A95" t="inlineStr">
        <is>
          <t>base-s5</t>
        </is>
      </c>
      <c r="B95" t="n">
        <v>14</v>
      </c>
      <c r="C95" t="n">
        <v>0.223008</v>
      </c>
      <c r="D95" t="n">
        <v>0.9087769999999999</v>
      </c>
      <c r="E95" t="n">
        <v>0.227333</v>
      </c>
      <c r="F95" t="n">
        <v>0.242292</v>
      </c>
      <c r="G95" t="n">
        <v>0.902595</v>
      </c>
      <c r="H95" t="n">
        <v>0.841522</v>
      </c>
      <c r="I95" t="n">
        <v>0.335651</v>
      </c>
      <c r="J95" t="n">
        <v>0.584831</v>
      </c>
      <c r="K95" t="n">
        <v>0</v>
      </c>
      <c r="L95" t="n">
        <v>0.3</v>
      </c>
      <c r="M95" t="n">
        <v>0.299068</v>
      </c>
    </row>
    <row r="96">
      <c r="A96" t="inlineStr">
        <is>
          <t>base-s5</t>
        </is>
      </c>
      <c r="B96" t="n">
        <v>15</v>
      </c>
      <c r="C96" t="n">
        <v>0.224617</v>
      </c>
      <c r="D96" t="n">
        <v>0.908755</v>
      </c>
      <c r="E96" t="n">
        <v>0.222606</v>
      </c>
      <c r="F96" t="n">
        <v>0.244394</v>
      </c>
      <c r="G96" t="n">
        <v>0.902648</v>
      </c>
      <c r="H96" t="n">
        <v>0.849854</v>
      </c>
      <c r="I96" t="n">
        <v>0.335731</v>
      </c>
      <c r="J96" t="n">
        <v>0.481791</v>
      </c>
      <c r="K96" t="n">
        <v>0</v>
      </c>
      <c r="L96" t="n">
        <v>0.3</v>
      </c>
      <c r="M96" t="n">
        <v>0.367088</v>
      </c>
    </row>
    <row r="97">
      <c r="A97" t="inlineStr">
        <is>
          <t>base-s5</t>
        </is>
      </c>
      <c r="B97" t="n">
        <v>16</v>
      </c>
      <c r="C97" t="n">
        <v>0.211995</v>
      </c>
      <c r="D97" t="n">
        <v>0.914677</v>
      </c>
      <c r="E97" t="n">
        <v>0.219878</v>
      </c>
      <c r="F97" t="n">
        <v>0.235214</v>
      </c>
      <c r="G97" t="n">
        <v>0.907091</v>
      </c>
      <c r="H97" t="n">
        <v>0.834407</v>
      </c>
      <c r="I97" t="n">
        <v>0.336201</v>
      </c>
      <c r="J97" t="n">
        <v>0.499757</v>
      </c>
      <c r="K97" t="n">
        <v>0</v>
      </c>
      <c r="L97" t="n">
        <v>0.3</v>
      </c>
      <c r="M97" t="n">
        <v>0.300632</v>
      </c>
    </row>
    <row r="98">
      <c r="A98" t="inlineStr">
        <is>
          <t>base-s5</t>
        </is>
      </c>
      <c r="B98" t="n">
        <v>17</v>
      </c>
      <c r="C98" t="n">
        <v>0.204607</v>
      </c>
      <c r="D98" t="n">
        <v>0.91731</v>
      </c>
      <c r="E98" t="n">
        <v>0.215852</v>
      </c>
      <c r="F98" t="n">
        <v>0.227862</v>
      </c>
      <c r="G98" t="n">
        <v>0.909813</v>
      </c>
      <c r="H98" t="n">
        <v>0.850129</v>
      </c>
      <c r="I98" t="n">
        <v>0.334112</v>
      </c>
      <c r="J98" t="n">
        <v>0.651687</v>
      </c>
      <c r="K98" t="n">
        <v>0</v>
      </c>
      <c r="L98" t="n">
        <v>0.3</v>
      </c>
      <c r="M98" t="n">
        <v>0.302283</v>
      </c>
    </row>
    <row r="99">
      <c r="A99" t="inlineStr">
        <is>
          <t>base-s5</t>
        </is>
      </c>
      <c r="B99" t="n">
        <v>18</v>
      </c>
      <c r="C99" t="n">
        <v>0.216665</v>
      </c>
      <c r="D99" t="n">
        <v>0.912421</v>
      </c>
      <c r="E99" t="n">
        <v>0.212283</v>
      </c>
      <c r="F99" t="n">
        <v>0.238356</v>
      </c>
      <c r="G99" t="n">
        <v>0.904413</v>
      </c>
      <c r="H99" t="n">
        <v>0.846905</v>
      </c>
      <c r="I99" t="n">
        <v>0.332262</v>
      </c>
      <c r="J99" t="n">
        <v>0.498987</v>
      </c>
      <c r="K99" t="n">
        <v>0</v>
      </c>
      <c r="L99" t="n">
        <v>0.3</v>
      </c>
      <c r="M99" t="n">
        <v>0.303848</v>
      </c>
    </row>
    <row r="100">
      <c r="A100" t="inlineStr">
        <is>
          <t>base-s5</t>
        </is>
      </c>
      <c r="B100" t="n">
        <v>19</v>
      </c>
      <c r="C100" t="n">
        <v>0.212118</v>
      </c>
      <c r="D100" t="n">
        <v>0.914833</v>
      </c>
      <c r="E100" t="n">
        <v>0.208462</v>
      </c>
      <c r="F100" t="n">
        <v>0.235064</v>
      </c>
      <c r="G100" t="n">
        <v>0.907984</v>
      </c>
      <c r="H100" t="n">
        <v>0.855074</v>
      </c>
      <c r="I100" t="n">
        <v>0.332842</v>
      </c>
      <c r="J100" t="n">
        <v>0.48389</v>
      </c>
      <c r="K100" t="n">
        <v>0</v>
      </c>
      <c r="L100" t="n">
        <v>0.3</v>
      </c>
      <c r="M100" t="n">
        <v>0.301918</v>
      </c>
    </row>
    <row r="101">
      <c r="A101" t="inlineStr">
        <is>
          <t>base-s5</t>
        </is>
      </c>
      <c r="B101" t="n">
        <v>20</v>
      </c>
      <c r="C101" t="n">
        <v>0.20225</v>
      </c>
      <c r="D101" t="n">
        <v>0.917665</v>
      </c>
      <c r="E101" t="n">
        <v>0.207427</v>
      </c>
      <c r="F101" t="n">
        <v>0.226701</v>
      </c>
      <c r="G101" t="n">
        <v>0.910544</v>
      </c>
      <c r="H101" t="n">
        <v>0.845529</v>
      </c>
      <c r="I101" t="n">
        <v>0.331839</v>
      </c>
      <c r="J101" t="n">
        <v>0.635442</v>
      </c>
      <c r="K101" t="n">
        <v>0</v>
      </c>
      <c r="L101" t="n">
        <v>0.3</v>
      </c>
      <c r="M101" t="n">
        <v>0.307278</v>
      </c>
    </row>
    <row r="102">
      <c r="A102" t="inlineStr">
        <is>
          <t>loss-mse</t>
        </is>
      </c>
      <c r="B102" t="n">
        <v>1</v>
      </c>
      <c r="C102" t="n">
        <v>0.045132</v>
      </c>
      <c r="D102" t="n">
        <v>0.783925</v>
      </c>
      <c r="E102" t="n">
        <v>0.053645</v>
      </c>
      <c r="F102" t="n">
        <v>0.045294</v>
      </c>
      <c r="G102" t="n">
        <v>0.781868</v>
      </c>
      <c r="H102" t="n">
        <v>0.533367</v>
      </c>
      <c r="I102" t="n">
        <v>0.057144</v>
      </c>
      <c r="J102" t="n">
        <v>2.284362</v>
      </c>
      <c r="K102" t="n">
        <v>0</v>
      </c>
      <c r="L102" t="n">
        <v>0.3</v>
      </c>
      <c r="M102" t="n">
        <v>0.272502</v>
      </c>
    </row>
    <row r="103">
      <c r="A103" t="inlineStr">
        <is>
          <t>loss-mse</t>
        </is>
      </c>
      <c r="B103" t="n">
        <v>2</v>
      </c>
      <c r="C103" t="n">
        <v>0.040259</v>
      </c>
      <c r="D103" t="n">
        <v>0.809239</v>
      </c>
      <c r="E103" t="n">
        <v>0.042823</v>
      </c>
      <c r="F103" t="n">
        <v>0.040621</v>
      </c>
      <c r="G103" t="n">
        <v>0.806168</v>
      </c>
      <c r="H103" t="n">
        <v>0.629921</v>
      </c>
      <c r="I103" t="n">
        <v>0.057665</v>
      </c>
      <c r="J103" t="n">
        <v>0.109425</v>
      </c>
      <c r="K103" t="n">
        <v>0</v>
      </c>
      <c r="L103" t="n">
        <v>0.3</v>
      </c>
      <c r="M103" t="n">
        <v>0.259989</v>
      </c>
    </row>
    <row r="104">
      <c r="A104" t="inlineStr">
        <is>
          <t>loss-mse</t>
        </is>
      </c>
      <c r="B104" t="n">
        <v>3</v>
      </c>
      <c r="C104" t="n">
        <v>0.037785</v>
      </c>
      <c r="D104" t="n">
        <v>0.823288</v>
      </c>
      <c r="E104" t="n">
        <v>0.039129</v>
      </c>
      <c r="F104" t="n">
        <v>0.038246</v>
      </c>
      <c r="G104" t="n">
        <v>0.821056</v>
      </c>
      <c r="H104" t="n">
        <v>0.634007</v>
      </c>
      <c r="I104" t="n">
        <v>0.061501</v>
      </c>
      <c r="J104" t="n">
        <v>0.11151</v>
      </c>
      <c r="K104" t="n">
        <v>0</v>
      </c>
      <c r="L104" t="n">
        <v>0.3</v>
      </c>
      <c r="M104" t="n">
        <v>0.26222</v>
      </c>
    </row>
    <row r="105">
      <c r="A105" t="inlineStr">
        <is>
          <t>loss-mse</t>
        </is>
      </c>
      <c r="B105" t="n">
        <v>4</v>
      </c>
      <c r="C105" t="n">
        <v>0.035875</v>
      </c>
      <c r="D105" t="n">
        <v>0.8349</v>
      </c>
      <c r="E105" t="n">
        <v>0.036966</v>
      </c>
      <c r="F105" t="n">
        <v>0.036402</v>
      </c>
      <c r="G105" t="n">
        <v>0.831189</v>
      </c>
      <c r="H105" t="n">
        <v>0.677494</v>
      </c>
      <c r="I105" t="n">
        <v>0.06566900000000001</v>
      </c>
      <c r="J105" t="n">
        <v>0.119735</v>
      </c>
      <c r="K105" t="n">
        <v>0</v>
      </c>
      <c r="L105" t="n">
        <v>0.3</v>
      </c>
      <c r="M105" t="n">
        <v>0.264713</v>
      </c>
    </row>
    <row r="106">
      <c r="A106" t="inlineStr">
        <is>
          <t>loss-mse</t>
        </is>
      </c>
      <c r="B106" t="n">
        <v>5</v>
      </c>
      <c r="C106" t="n">
        <v>0.034759</v>
      </c>
      <c r="D106" t="n">
        <v>0.841341</v>
      </c>
      <c r="E106" t="n">
        <v>0.03532</v>
      </c>
      <c r="F106" t="n">
        <v>0.035287</v>
      </c>
      <c r="G106" t="n">
        <v>0.837159</v>
      </c>
      <c r="H106" t="n">
        <v>0.6860309999999999</v>
      </c>
      <c r="I106" t="n">
        <v>0.066498</v>
      </c>
      <c r="J106" t="n">
        <v>0.120208</v>
      </c>
      <c r="K106" t="n">
        <v>0</v>
      </c>
      <c r="L106" t="n">
        <v>0.3</v>
      </c>
      <c r="M106" t="n">
        <v>0.258277</v>
      </c>
    </row>
    <row r="107">
      <c r="A107" t="inlineStr">
        <is>
          <t>loss-mse</t>
        </is>
      </c>
      <c r="B107" t="n">
        <v>6</v>
      </c>
      <c r="C107" t="n">
        <v>0.035504</v>
      </c>
      <c r="D107" t="n">
        <v>0.841647</v>
      </c>
      <c r="E107" t="n">
        <v>0.034033</v>
      </c>
      <c r="F107" t="n">
        <v>0.036023</v>
      </c>
      <c r="G107" t="n">
        <v>0.83816</v>
      </c>
      <c r="H107" t="n">
        <v>0.693847</v>
      </c>
      <c r="I107" t="n">
        <v>0.067746</v>
      </c>
      <c r="J107" t="n">
        <v>0.117518</v>
      </c>
      <c r="K107" t="n">
        <v>0</v>
      </c>
      <c r="L107" t="n">
        <v>0.3</v>
      </c>
      <c r="M107" t="n">
        <v>0.264931</v>
      </c>
    </row>
    <row r="108">
      <c r="A108" t="inlineStr">
        <is>
          <t>loss-mse</t>
        </is>
      </c>
      <c r="B108" t="n">
        <v>7</v>
      </c>
      <c r="C108" t="n">
        <v>0.032574</v>
      </c>
      <c r="D108" t="n">
        <v>0.8532459999999999</v>
      </c>
      <c r="E108" t="n">
        <v>0.032991</v>
      </c>
      <c r="F108" t="n">
        <v>0.033195</v>
      </c>
      <c r="G108" t="n">
        <v>0.849326</v>
      </c>
      <c r="H108" t="n">
        <v>0.722221</v>
      </c>
      <c r="I108" t="n">
        <v>0.067771</v>
      </c>
      <c r="J108" t="n">
        <v>0.110855</v>
      </c>
      <c r="K108" t="n">
        <v>0</v>
      </c>
      <c r="L108" t="n">
        <v>0.3</v>
      </c>
      <c r="M108" t="n">
        <v>0.263069</v>
      </c>
    </row>
    <row r="109">
      <c r="A109" t="inlineStr">
        <is>
          <t>loss-mse</t>
        </is>
      </c>
      <c r="B109" t="n">
        <v>8</v>
      </c>
      <c r="C109" t="n">
        <v>0.031427</v>
      </c>
      <c r="D109" t="n">
        <v>0.8595930000000001</v>
      </c>
      <c r="E109" t="n">
        <v>0.032183</v>
      </c>
      <c r="F109" t="n">
        <v>0.032071</v>
      </c>
      <c r="G109" t="n">
        <v>0.854607</v>
      </c>
      <c r="H109" t="n">
        <v>0.72523</v>
      </c>
      <c r="I109" t="n">
        <v>0.068282</v>
      </c>
      <c r="J109" t="n">
        <v>0.114496</v>
      </c>
      <c r="K109" t="n">
        <v>0</v>
      </c>
      <c r="L109" t="n">
        <v>0.3</v>
      </c>
      <c r="M109" t="n">
        <v>0.263355</v>
      </c>
    </row>
    <row r="110">
      <c r="A110" t="inlineStr">
        <is>
          <t>loss-mse</t>
        </is>
      </c>
      <c r="B110" t="n">
        <v>9</v>
      </c>
      <c r="C110" t="n">
        <v>0.031052</v>
      </c>
      <c r="D110" t="n">
        <v>0.860843</v>
      </c>
      <c r="E110" t="n">
        <v>0.031485</v>
      </c>
      <c r="F110" t="n">
        <v>0.031623</v>
      </c>
      <c r="G110" t="n">
        <v>0.857479</v>
      </c>
      <c r="H110" t="n">
        <v>0.704588</v>
      </c>
      <c r="I110" t="n">
        <v>0.069463</v>
      </c>
      <c r="J110" t="n">
        <v>0.115989</v>
      </c>
      <c r="K110" t="n">
        <v>0</v>
      </c>
      <c r="L110" t="n">
        <v>0.3</v>
      </c>
      <c r="M110" t="n">
        <v>0.256367</v>
      </c>
    </row>
    <row r="111">
      <c r="A111" t="inlineStr">
        <is>
          <t>loss-mse</t>
        </is>
      </c>
      <c r="B111" t="n">
        <v>10</v>
      </c>
      <c r="C111" t="n">
        <v>0.030421</v>
      </c>
      <c r="D111" t="n">
        <v>0.865547</v>
      </c>
      <c r="E111" t="n">
        <v>0.030895</v>
      </c>
      <c r="F111" t="n">
        <v>0.03111</v>
      </c>
      <c r="G111" t="n">
        <v>0.861513</v>
      </c>
      <c r="H111" t="n">
        <v>0.746838</v>
      </c>
      <c r="I111" t="n">
        <v>0.06952899999999999</v>
      </c>
      <c r="J111" t="n">
        <v>0.113353</v>
      </c>
      <c r="K111" t="n">
        <v>0</v>
      </c>
      <c r="L111" t="n">
        <v>0.3</v>
      </c>
      <c r="M111" t="n">
        <v>0.264819</v>
      </c>
    </row>
    <row r="112">
      <c r="A112" t="inlineStr">
        <is>
          <t>loss-mse</t>
        </is>
      </c>
      <c r="B112" t="n">
        <v>11</v>
      </c>
      <c r="C112" t="n">
        <v>0.030332</v>
      </c>
      <c r="D112" t="n">
        <v>0.868239</v>
      </c>
      <c r="E112" t="n">
        <v>0.030207</v>
      </c>
      <c r="F112" t="n">
        <v>0.031075</v>
      </c>
      <c r="G112" t="n">
        <v>0.863697</v>
      </c>
      <c r="H112" t="n">
        <v>0.736005</v>
      </c>
      <c r="I112" t="n">
        <v>0.068915</v>
      </c>
      <c r="J112" t="n">
        <v>0.112408</v>
      </c>
      <c r="K112" t="n">
        <v>0</v>
      </c>
      <c r="L112" t="n">
        <v>0.3</v>
      </c>
      <c r="M112" t="n">
        <v>0.257069</v>
      </c>
    </row>
    <row r="113">
      <c r="A113" t="inlineStr">
        <is>
          <t>loss-mse</t>
        </is>
      </c>
      <c r="B113" t="n">
        <v>12</v>
      </c>
      <c r="C113" t="n">
        <v>0.029665</v>
      </c>
      <c r="D113" t="n">
        <v>0.870603</v>
      </c>
      <c r="E113" t="n">
        <v>0.029697</v>
      </c>
      <c r="F113" t="n">
        <v>0.030529</v>
      </c>
      <c r="G113" t="n">
        <v>0.8674190000000001</v>
      </c>
      <c r="H113" t="n">
        <v>0.72537</v>
      </c>
      <c r="I113" t="n">
        <v>0.069381</v>
      </c>
      <c r="J113" t="n">
        <v>0.164436</v>
      </c>
      <c r="K113" t="n">
        <v>0</v>
      </c>
      <c r="L113" t="n">
        <v>0.3</v>
      </c>
      <c r="M113" t="n">
        <v>0.256333</v>
      </c>
    </row>
    <row r="114">
      <c r="A114" t="inlineStr">
        <is>
          <t>loss-mse</t>
        </is>
      </c>
      <c r="B114" t="n">
        <v>13</v>
      </c>
      <c r="C114" t="n">
        <v>0.029617</v>
      </c>
      <c r="D114" t="n">
        <v>0.870842</v>
      </c>
      <c r="E114" t="n">
        <v>0.029271</v>
      </c>
      <c r="F114" t="n">
        <v>0.030483</v>
      </c>
      <c r="G114" t="n">
        <v>0.865838</v>
      </c>
      <c r="H114" t="n">
        <v>0.75587</v>
      </c>
      <c r="I114" t="n">
        <v>0.069928</v>
      </c>
      <c r="J114" t="n">
        <v>0.117785</v>
      </c>
      <c r="K114" t="n">
        <v>0</v>
      </c>
      <c r="L114" t="n">
        <v>0.3</v>
      </c>
      <c r="M114" t="n">
        <v>0.250781</v>
      </c>
    </row>
    <row r="115">
      <c r="A115" t="inlineStr">
        <is>
          <t>loss-mse</t>
        </is>
      </c>
      <c r="B115" t="n">
        <v>14</v>
      </c>
      <c r="C115" t="n">
        <v>0.028249</v>
      </c>
      <c r="D115" t="n">
        <v>0.87668</v>
      </c>
      <c r="E115" t="n">
        <v>0.028755</v>
      </c>
      <c r="F115" t="n">
        <v>0.029007</v>
      </c>
      <c r="G115" t="n">
        <v>0.872292</v>
      </c>
      <c r="H115" t="n">
        <v>0.767083</v>
      </c>
      <c r="I115" t="n">
        <v>0.06908</v>
      </c>
      <c r="J115" t="n">
        <v>0.105463</v>
      </c>
      <c r="K115" t="n">
        <v>0</v>
      </c>
      <c r="L115" t="n">
        <v>0.3</v>
      </c>
      <c r="M115" t="n">
        <v>0.26145</v>
      </c>
    </row>
    <row r="116">
      <c r="A116" t="inlineStr">
        <is>
          <t>loss-mse</t>
        </is>
      </c>
      <c r="B116" t="n">
        <v>15</v>
      </c>
      <c r="C116" t="n">
        <v>0.027688</v>
      </c>
      <c r="D116" t="n">
        <v>0.880682</v>
      </c>
      <c r="E116" t="n">
        <v>0.028443</v>
      </c>
      <c r="F116" t="n">
        <v>0.028435</v>
      </c>
      <c r="G116" t="n">
        <v>0.87738</v>
      </c>
      <c r="H116" t="n">
        <v>0.774109</v>
      </c>
      <c r="I116" t="n">
        <v>0.069886</v>
      </c>
      <c r="J116" t="n">
        <v>0.117926</v>
      </c>
      <c r="K116" t="n">
        <v>0</v>
      </c>
      <c r="L116" t="n">
        <v>0.3</v>
      </c>
      <c r="M116" t="n">
        <v>0.256931</v>
      </c>
    </row>
    <row r="117">
      <c r="A117" t="inlineStr">
        <is>
          <t>loss-mse</t>
        </is>
      </c>
      <c r="B117" t="n">
        <v>16</v>
      </c>
      <c r="C117" t="n">
        <v>0.027804</v>
      </c>
      <c r="D117" t="n">
        <v>0.8788049999999999</v>
      </c>
      <c r="E117" t="n">
        <v>0.028017</v>
      </c>
      <c r="F117" t="n">
        <v>0.028679</v>
      </c>
      <c r="G117" t="n">
        <v>0.873862</v>
      </c>
      <c r="H117" t="n">
        <v>0.770273</v>
      </c>
      <c r="I117" t="n">
        <v>0.068925</v>
      </c>
      <c r="J117" t="n">
        <v>0.120261</v>
      </c>
      <c r="K117" t="n">
        <v>0</v>
      </c>
      <c r="L117" t="n">
        <v>0.3</v>
      </c>
      <c r="M117" t="n">
        <v>0.264196</v>
      </c>
    </row>
    <row r="118">
      <c r="A118" t="inlineStr">
        <is>
          <t>loss-mse</t>
        </is>
      </c>
      <c r="B118" t="n">
        <v>17</v>
      </c>
      <c r="C118" t="n">
        <v>0.027873</v>
      </c>
      <c r="D118" t="n">
        <v>0.881532</v>
      </c>
      <c r="E118" t="n">
        <v>0.027577</v>
      </c>
      <c r="F118" t="n">
        <v>0.028803</v>
      </c>
      <c r="G118" t="n">
        <v>0.876745</v>
      </c>
      <c r="H118" t="n">
        <v>0.778141</v>
      </c>
      <c r="I118" t="n">
        <v>0.068963</v>
      </c>
      <c r="J118" t="n">
        <v>0.113243</v>
      </c>
      <c r="K118" t="n">
        <v>0</v>
      </c>
      <c r="L118" t="n">
        <v>0.3</v>
      </c>
      <c r="M118" t="n">
        <v>0.260035</v>
      </c>
    </row>
    <row r="119">
      <c r="A119" t="inlineStr">
        <is>
          <t>loss-mse</t>
        </is>
      </c>
      <c r="B119" t="n">
        <v>18</v>
      </c>
      <c r="C119" t="n">
        <v>0.027013</v>
      </c>
      <c r="D119" t="n">
        <v>0.885305</v>
      </c>
      <c r="E119" t="n">
        <v>0.027321</v>
      </c>
      <c r="F119" t="n">
        <v>0.027949</v>
      </c>
      <c r="G119" t="n">
        <v>0.880446</v>
      </c>
      <c r="H119" t="n">
        <v>0.787377</v>
      </c>
      <c r="I119" t="n">
        <v>0.069646</v>
      </c>
      <c r="J119" t="n">
        <v>0.135525</v>
      </c>
      <c r="K119" t="n">
        <v>0</v>
      </c>
      <c r="L119" t="n">
        <v>0.3</v>
      </c>
      <c r="M119" t="n">
        <v>0.278533</v>
      </c>
    </row>
    <row r="120">
      <c r="A120" t="inlineStr">
        <is>
          <t>loss-mse</t>
        </is>
      </c>
      <c r="B120" t="n">
        <v>19</v>
      </c>
      <c r="C120" t="n">
        <v>0.026715</v>
      </c>
      <c r="D120" t="n">
        <v>0.885006</v>
      </c>
      <c r="E120" t="n">
        <v>0.027093</v>
      </c>
      <c r="F120" t="n">
        <v>0.027665</v>
      </c>
      <c r="G120" t="n">
        <v>0.880209</v>
      </c>
      <c r="H120" t="n">
        <v>0.782037</v>
      </c>
      <c r="I120" t="n">
        <v>0.069852</v>
      </c>
      <c r="J120" t="n">
        <v>0.108442</v>
      </c>
      <c r="K120" t="n">
        <v>0</v>
      </c>
      <c r="L120" t="n">
        <v>0.3</v>
      </c>
      <c r="M120" t="n">
        <v>0.256827</v>
      </c>
    </row>
    <row r="121">
      <c r="A121" t="inlineStr">
        <is>
          <t>loss-mse</t>
        </is>
      </c>
      <c r="B121" t="n">
        <v>20</v>
      </c>
      <c r="C121" t="n">
        <v>0.02582</v>
      </c>
      <c r="D121" t="n">
        <v>0.888217</v>
      </c>
      <c r="E121" t="n">
        <v>0.026795</v>
      </c>
      <c r="F121" t="n">
        <v>0.026856</v>
      </c>
      <c r="G121" t="n">
        <v>0.88335</v>
      </c>
      <c r="H121" t="n">
        <v>0.784314</v>
      </c>
      <c r="I121" t="n">
        <v>0.069685</v>
      </c>
      <c r="J121" t="n">
        <v>0.130906</v>
      </c>
      <c r="K121" t="n">
        <v>0</v>
      </c>
      <c r="L121" t="n">
        <v>0.3</v>
      </c>
      <c r="M121" t="n">
        <v>0.25963</v>
      </c>
    </row>
    <row r="122">
      <c r="A122" t="inlineStr">
        <is>
          <t>loss-mse-lr0.9</t>
        </is>
      </c>
      <c r="B122" t="n">
        <v>1</v>
      </c>
      <c r="C122" t="n">
        <v>0.079592</v>
      </c>
      <c r="D122" t="n">
        <v>0.5357690000000001</v>
      </c>
      <c r="E122" t="n">
        <v>0.090022</v>
      </c>
      <c r="F122" t="n">
        <v>0.079636</v>
      </c>
      <c r="G122" t="n">
        <v>0.535875</v>
      </c>
      <c r="H122" t="n">
        <v>0.203477</v>
      </c>
      <c r="I122" t="n">
        <v>0.049322</v>
      </c>
      <c r="J122" t="n">
        <v>10.809635</v>
      </c>
      <c r="K122" t="n">
        <v>0</v>
      </c>
      <c r="L122" t="n">
        <v>0.9</v>
      </c>
      <c r="M122" t="n">
        <v>0.258876</v>
      </c>
    </row>
    <row r="123">
      <c r="A123" t="inlineStr">
        <is>
          <t>loss-mse-lr0.9</t>
        </is>
      </c>
      <c r="B123" t="n">
        <v>2</v>
      </c>
      <c r="C123" t="n">
        <v>0.079112</v>
      </c>
      <c r="D123" t="n">
        <v>0.534551</v>
      </c>
      <c r="E123" t="n">
        <v>0.07949299999999999</v>
      </c>
      <c r="F123" t="n">
        <v>0.079148</v>
      </c>
      <c r="G123" t="n">
        <v>0.534498</v>
      </c>
      <c r="H123" t="n">
        <v>0.201396</v>
      </c>
      <c r="I123" t="n">
        <v>0.024401</v>
      </c>
      <c r="J123" t="n">
        <v>0.059409</v>
      </c>
      <c r="K123" t="n">
        <v>0</v>
      </c>
      <c r="L123" t="n">
        <v>0.9</v>
      </c>
      <c r="M123" t="n">
        <v>0.259675</v>
      </c>
    </row>
    <row r="124">
      <c r="A124" t="inlineStr">
        <is>
          <t>loss-mse-lr0.9</t>
        </is>
      </c>
      <c r="B124" t="n">
        <v>3</v>
      </c>
      <c r="C124" t="n">
        <v>0.07889699999999999</v>
      </c>
      <c r="D124" t="n">
        <v>0.537788</v>
      </c>
      <c r="E124" t="n">
        <v>0.079236</v>
      </c>
      <c r="F124" t="n">
        <v>0.078956</v>
      </c>
      <c r="G124" t="n">
        <v>0.537585</v>
      </c>
      <c r="H124" t="n">
        <v>0.20513</v>
      </c>
      <c r="I124" t="n">
        <v>0.023421</v>
      </c>
      <c r="J124" t="n">
        <v>0.07728400000000001</v>
      </c>
      <c r="K124" t="n">
        <v>0</v>
      </c>
      <c r="L124" t="n">
        <v>0.9</v>
      </c>
      <c r="M124" t="n">
        <v>0.255654</v>
      </c>
    </row>
    <row r="125">
      <c r="A125" t="inlineStr">
        <is>
          <t>loss-mse-lr0.9</t>
        </is>
      </c>
      <c r="B125" t="n">
        <v>4</v>
      </c>
      <c r="C125" t="n">
        <v>0.054744</v>
      </c>
      <c r="D125" t="n">
        <v>0.7433380000000001</v>
      </c>
      <c r="E125" t="n">
        <v>0.060797</v>
      </c>
      <c r="F125" t="n">
        <v>0.054757</v>
      </c>
      <c r="G125" t="n">
        <v>0.742906</v>
      </c>
      <c r="H125" t="n">
        <v>0.326666</v>
      </c>
      <c r="I125" t="n">
        <v>0.086896</v>
      </c>
      <c r="J125" t="n">
        <v>0.413435</v>
      </c>
      <c r="K125" t="n">
        <v>0</v>
      </c>
      <c r="L125" t="n">
        <v>0.9</v>
      </c>
      <c r="M125" t="n">
        <v>0.267263</v>
      </c>
    </row>
    <row r="126">
      <c r="A126" t="inlineStr">
        <is>
          <t>loss-mse-lr0.9</t>
        </is>
      </c>
      <c r="B126" t="n">
        <v>5</v>
      </c>
      <c r="C126" t="n">
        <v>0.052296</v>
      </c>
      <c r="D126" t="n">
        <v>0.7630479999999999</v>
      </c>
      <c r="E126" t="n">
        <v>0.053833</v>
      </c>
      <c r="F126" t="n">
        <v>0.052364</v>
      </c>
      <c r="G126" t="n">
        <v>0.762989</v>
      </c>
      <c r="H126" t="n">
        <v>0.333419</v>
      </c>
      <c r="I126" t="n">
        <v>0.072716</v>
      </c>
      <c r="J126" t="n">
        <v>0.192131</v>
      </c>
      <c r="K126" t="n">
        <v>0</v>
      </c>
      <c r="L126" t="n">
        <v>0.9</v>
      </c>
      <c r="M126" t="n">
        <v>0.28328</v>
      </c>
    </row>
    <row r="127">
      <c r="A127" t="inlineStr">
        <is>
          <t>loss-mse-lr0.9</t>
        </is>
      </c>
      <c r="B127" t="n">
        <v>6</v>
      </c>
      <c r="C127" t="n">
        <v>0.048698</v>
      </c>
      <c r="D127" t="n">
        <v>0.775319</v>
      </c>
      <c r="E127" t="n">
        <v>0.051214</v>
      </c>
      <c r="F127" t="n">
        <v>0.048747</v>
      </c>
      <c r="G127" t="n">
        <v>0.775424</v>
      </c>
      <c r="H127" t="n">
        <v>0.410851</v>
      </c>
      <c r="I127" t="n">
        <v>0.068298</v>
      </c>
      <c r="J127" t="n">
        <v>0.240806</v>
      </c>
      <c r="K127" t="n">
        <v>0</v>
      </c>
      <c r="L127" t="n">
        <v>0.9</v>
      </c>
      <c r="M127" t="n">
        <v>0.268624</v>
      </c>
    </row>
    <row r="128">
      <c r="A128" t="inlineStr">
        <is>
          <t>loss-mse-lr0.9</t>
        </is>
      </c>
      <c r="B128" t="n">
        <v>7</v>
      </c>
      <c r="C128" t="n">
        <v>0.049544</v>
      </c>
      <c r="D128" t="n">
        <v>0.772011</v>
      </c>
      <c r="E128" t="n">
        <v>0.048563</v>
      </c>
      <c r="F128" t="n">
        <v>0.049797</v>
      </c>
      <c r="G128" t="n">
        <v>0.77096</v>
      </c>
      <c r="H128" t="n">
        <v>0.498648</v>
      </c>
      <c r="I128" t="n">
        <v>0.066069</v>
      </c>
      <c r="J128" t="n">
        <v>0.171082</v>
      </c>
      <c r="K128" t="n">
        <v>0</v>
      </c>
      <c r="L128" t="n">
        <v>0.9</v>
      </c>
      <c r="M128" t="n">
        <v>0.274036</v>
      </c>
    </row>
    <row r="129">
      <c r="A129" t="inlineStr">
        <is>
          <t>loss-mse-lr0.9</t>
        </is>
      </c>
      <c r="B129" t="n">
        <v>8</v>
      </c>
      <c r="C129" t="n">
        <v>0.047101</v>
      </c>
      <c r="D129" t="n">
        <v>0.794727</v>
      </c>
      <c r="E129" t="n">
        <v>0.046684</v>
      </c>
      <c r="F129" t="n">
        <v>0.047536</v>
      </c>
      <c r="G129" t="n">
        <v>0.791366</v>
      </c>
      <c r="H129" t="n">
        <v>0.515591</v>
      </c>
      <c r="I129" t="n">
        <v>0.062945</v>
      </c>
      <c r="J129" t="n">
        <v>0.179023</v>
      </c>
      <c r="K129" t="n">
        <v>0</v>
      </c>
      <c r="L129" t="n">
        <v>0.9</v>
      </c>
      <c r="M129" t="n">
        <v>0.263414</v>
      </c>
    </row>
    <row r="130">
      <c r="A130" t="inlineStr">
        <is>
          <t>loss-mse-lr0.9</t>
        </is>
      </c>
      <c r="B130" t="n">
        <v>9</v>
      </c>
      <c r="C130" t="n">
        <v>0.044065</v>
      </c>
      <c r="D130" t="n">
        <v>0.80102</v>
      </c>
      <c r="E130" t="n">
        <v>0.045979</v>
      </c>
      <c r="F130" t="n">
        <v>0.044432</v>
      </c>
      <c r="G130" t="n">
        <v>0.797907</v>
      </c>
      <c r="H130" t="n">
        <v>0.503924</v>
      </c>
      <c r="I130" t="n">
        <v>0.069614</v>
      </c>
      <c r="J130" t="n">
        <v>0.195632</v>
      </c>
      <c r="K130" t="n">
        <v>0</v>
      </c>
      <c r="L130" t="n">
        <v>0.9</v>
      </c>
      <c r="M130" t="n">
        <v>0.264718</v>
      </c>
    </row>
    <row r="131">
      <c r="A131" t="inlineStr">
        <is>
          <t>loss-mse-lr0.9</t>
        </is>
      </c>
      <c r="B131" t="n">
        <v>10</v>
      </c>
      <c r="C131" t="n">
        <v>0.045735</v>
      </c>
      <c r="D131" t="n">
        <v>0.796002</v>
      </c>
      <c r="E131" t="n">
        <v>0.044677</v>
      </c>
      <c r="F131" t="n">
        <v>0.046107</v>
      </c>
      <c r="G131" t="n">
        <v>0.7938190000000001</v>
      </c>
      <c r="H131" t="n">
        <v>0.526533</v>
      </c>
      <c r="I131" t="n">
        <v>0.06512800000000001</v>
      </c>
      <c r="J131" t="n">
        <v>0.194162</v>
      </c>
      <c r="K131" t="n">
        <v>0</v>
      </c>
      <c r="L131" t="n">
        <v>0.9</v>
      </c>
      <c r="M131" t="n">
        <v>0.262851</v>
      </c>
    </row>
    <row r="132">
      <c r="A132" t="inlineStr">
        <is>
          <t>loss-mse-lr0.9</t>
        </is>
      </c>
      <c r="B132" t="n">
        <v>11</v>
      </c>
      <c r="C132" t="n">
        <v>0.042582</v>
      </c>
      <c r="D132" t="n">
        <v>0.811436</v>
      </c>
      <c r="E132" t="n">
        <v>0.043599</v>
      </c>
      <c r="F132" t="n">
        <v>0.042983</v>
      </c>
      <c r="G132" t="n">
        <v>0.80847</v>
      </c>
      <c r="H132" t="n">
        <v>0.538679</v>
      </c>
      <c r="I132" t="n">
        <v>0.065417</v>
      </c>
      <c r="J132" t="n">
        <v>0.208607</v>
      </c>
      <c r="K132" t="n">
        <v>0</v>
      </c>
      <c r="L132" t="n">
        <v>0.9</v>
      </c>
      <c r="M132" t="n">
        <v>0.274488</v>
      </c>
    </row>
    <row r="133">
      <c r="A133" t="inlineStr">
        <is>
          <t>loss-mse-lr0.9</t>
        </is>
      </c>
      <c r="B133" t="n">
        <v>12</v>
      </c>
      <c r="C133" t="n">
        <v>0.050579</v>
      </c>
      <c r="D133" t="n">
        <v>0.794335</v>
      </c>
      <c r="E133" t="n">
        <v>0.042783</v>
      </c>
      <c r="F133" t="n">
        <v>0.05121</v>
      </c>
      <c r="G133" t="n">
        <v>0.791248</v>
      </c>
      <c r="H133" t="n">
        <v>0.488823</v>
      </c>
      <c r="I133" t="n">
        <v>0.06797499999999999</v>
      </c>
      <c r="J133" t="n">
        <v>0.209095</v>
      </c>
      <c r="K133" t="n">
        <v>0</v>
      </c>
      <c r="L133" t="n">
        <v>0.9</v>
      </c>
      <c r="M133" t="n">
        <v>0.266857</v>
      </c>
    </row>
    <row r="134">
      <c r="A134" t="inlineStr">
        <is>
          <t>loss-mse-lr0.9</t>
        </is>
      </c>
      <c r="B134" t="n">
        <v>13</v>
      </c>
      <c r="C134" t="n">
        <v>0.039318</v>
      </c>
      <c r="D134" t="n">
        <v>0.826372</v>
      </c>
      <c r="E134" t="n">
        <v>0.041843</v>
      </c>
      <c r="F134" t="n">
        <v>0.039927</v>
      </c>
      <c r="G134" t="n">
        <v>0.822454</v>
      </c>
      <c r="H134" t="n">
        <v>0.633701</v>
      </c>
      <c r="I134" t="n">
        <v>0.071989</v>
      </c>
      <c r="J134" t="n">
        <v>0.201386</v>
      </c>
      <c r="K134" t="n">
        <v>0</v>
      </c>
      <c r="L134" t="n">
        <v>0.9</v>
      </c>
      <c r="M134" t="n">
        <v>0.265097</v>
      </c>
    </row>
    <row r="135">
      <c r="A135" t="inlineStr">
        <is>
          <t>loss-mse-lr0.9</t>
        </is>
      </c>
      <c r="B135" t="n">
        <v>14</v>
      </c>
      <c r="C135" t="n">
        <v>0.036374</v>
      </c>
      <c r="D135" t="n">
        <v>0.841768</v>
      </c>
      <c r="E135" t="n">
        <v>0.038208</v>
      </c>
      <c r="F135" t="n">
        <v>0.036939</v>
      </c>
      <c r="G135" t="n">
        <v>0.837665</v>
      </c>
      <c r="H135" t="n">
        <v>0.6561129999999999</v>
      </c>
      <c r="I135" t="n">
        <v>0.086349</v>
      </c>
      <c r="J135" t="n">
        <v>0.194022</v>
      </c>
      <c r="K135" t="n">
        <v>0</v>
      </c>
      <c r="L135" t="n">
        <v>0.9</v>
      </c>
      <c r="M135" t="n">
        <v>0.262331</v>
      </c>
    </row>
    <row r="136">
      <c r="A136" t="inlineStr">
        <is>
          <t>loss-mse-lr0.9</t>
        </is>
      </c>
      <c r="B136" t="n">
        <v>15</v>
      </c>
      <c r="C136" t="n">
        <v>0.035044</v>
      </c>
      <c r="D136" t="n">
        <v>0.846372</v>
      </c>
      <c r="E136" t="n">
        <v>0.037278</v>
      </c>
      <c r="F136" t="n">
        <v>0.035547</v>
      </c>
      <c r="G136" t="n">
        <v>0.844194</v>
      </c>
      <c r="H136" t="n">
        <v>0.670244</v>
      </c>
      <c r="I136" t="n">
        <v>0.08686199999999999</v>
      </c>
      <c r="J136" t="n">
        <v>0.246152</v>
      </c>
      <c r="K136" t="n">
        <v>0</v>
      </c>
      <c r="L136" t="n">
        <v>0.9</v>
      </c>
      <c r="M136" t="n">
        <v>0.260687</v>
      </c>
    </row>
    <row r="137">
      <c r="A137" t="inlineStr">
        <is>
          <t>loss-mse-lr0.9</t>
        </is>
      </c>
      <c r="B137" t="n">
        <v>16</v>
      </c>
      <c r="C137" t="n">
        <v>0.03562</v>
      </c>
      <c r="D137" t="n">
        <v>0.844834</v>
      </c>
      <c r="E137" t="n">
        <v>0.036652</v>
      </c>
      <c r="F137" t="n">
        <v>0.036198</v>
      </c>
      <c r="G137" t="n">
        <v>0.840989</v>
      </c>
      <c r="H137" t="n">
        <v>0.661676</v>
      </c>
      <c r="I137" t="n">
        <v>0.088383</v>
      </c>
      <c r="J137" t="n">
        <v>0.225147</v>
      </c>
      <c r="K137" t="n">
        <v>0</v>
      </c>
      <c r="L137" t="n">
        <v>0.9</v>
      </c>
      <c r="M137" t="n">
        <v>0.262385</v>
      </c>
    </row>
    <row r="138">
      <c r="A138" t="inlineStr">
        <is>
          <t>loss-mse-lr0.9</t>
        </is>
      </c>
      <c r="B138" t="n">
        <v>17</v>
      </c>
      <c r="C138" t="n">
        <v>0.035786</v>
      </c>
      <c r="D138" t="n">
        <v>0.846397</v>
      </c>
      <c r="E138" t="n">
        <v>0.036505</v>
      </c>
      <c r="F138" t="n">
        <v>0.036277</v>
      </c>
      <c r="G138" t="n">
        <v>0.844323</v>
      </c>
      <c r="H138" t="n">
        <v>0.671519</v>
      </c>
      <c r="I138" t="n">
        <v>0.089437</v>
      </c>
      <c r="J138" t="n">
        <v>0.211926</v>
      </c>
      <c r="K138" t="n">
        <v>0</v>
      </c>
      <c r="L138" t="n">
        <v>0.9</v>
      </c>
      <c r="M138" t="n">
        <v>0.266272</v>
      </c>
    </row>
    <row r="139">
      <c r="A139" t="inlineStr">
        <is>
          <t>loss-mse-lr0.9</t>
        </is>
      </c>
      <c r="B139" t="n">
        <v>18</v>
      </c>
      <c r="C139" t="n">
        <v>0.034899</v>
      </c>
      <c r="D139" t="n">
        <v>0.852415</v>
      </c>
      <c r="E139" t="n">
        <v>0.035697</v>
      </c>
      <c r="F139" t="n">
        <v>0.035568</v>
      </c>
      <c r="G139" t="n">
        <v>0.848099</v>
      </c>
      <c r="H139" t="n">
        <v>0.676311</v>
      </c>
      <c r="I139" t="n">
        <v>0.086424</v>
      </c>
      <c r="J139" t="n">
        <v>0.255108</v>
      </c>
      <c r="K139" t="n">
        <v>0</v>
      </c>
      <c r="L139" t="n">
        <v>0.9</v>
      </c>
      <c r="M139" t="n">
        <v>0.261545</v>
      </c>
    </row>
    <row r="140">
      <c r="A140" t="inlineStr">
        <is>
          <t>loss-mse-lr0.9</t>
        </is>
      </c>
      <c r="B140" t="n">
        <v>19</v>
      </c>
      <c r="C140" t="n">
        <v>0.036349</v>
      </c>
      <c r="D140" t="n">
        <v>0.848637</v>
      </c>
      <c r="E140" t="n">
        <v>0.035296</v>
      </c>
      <c r="F140" t="n">
        <v>0.036966</v>
      </c>
      <c r="G140" t="n">
        <v>0.8448290000000001</v>
      </c>
      <c r="H140" t="n">
        <v>0.671506</v>
      </c>
      <c r="I140" t="n">
        <v>0.08404499999999999</v>
      </c>
      <c r="J140" t="n">
        <v>0.21141</v>
      </c>
      <c r="K140" t="n">
        <v>0</v>
      </c>
      <c r="L140" t="n">
        <v>0.9</v>
      </c>
      <c r="M140" t="n">
        <v>0.260418</v>
      </c>
    </row>
    <row r="141">
      <c r="A141" t="inlineStr">
        <is>
          <t>loss-mse-lr0.9</t>
        </is>
      </c>
      <c r="B141" t="n">
        <v>20</v>
      </c>
      <c r="C141" t="n">
        <v>0.033292</v>
      </c>
      <c r="D141" t="n">
        <v>0.854728</v>
      </c>
      <c r="E141" t="n">
        <v>0.034966</v>
      </c>
      <c r="F141" t="n">
        <v>0.034027</v>
      </c>
      <c r="G141" t="n">
        <v>0.8511</v>
      </c>
      <c r="H141" t="n">
        <v>0.687851</v>
      </c>
      <c r="I141" t="n">
        <v>0.083567</v>
      </c>
      <c r="J141" t="n">
        <v>0.207192</v>
      </c>
      <c r="K141" t="n">
        <v>0</v>
      </c>
      <c r="L141" t="n">
        <v>0.9</v>
      </c>
      <c r="M141" t="n">
        <v>0.263805</v>
      </c>
    </row>
    <row r="142">
      <c r="A142" t="inlineStr">
        <is>
          <t>opt-sgdm-lr0.01</t>
        </is>
      </c>
      <c r="B142" t="n">
        <v>1</v>
      </c>
      <c r="C142" t="n">
        <v>0.575819</v>
      </c>
      <c r="D142" t="n">
        <v>0.7571099999999999</v>
      </c>
      <c r="E142" t="n">
        <v>0.672529</v>
      </c>
      <c r="F142" t="n">
        <v>0.579734</v>
      </c>
      <c r="G142" t="n">
        <v>0.754556</v>
      </c>
      <c r="H142" t="n">
        <v>0.513562</v>
      </c>
      <c r="I142" t="n">
        <v>0.430001</v>
      </c>
      <c r="J142" t="n">
        <v>2.871076</v>
      </c>
      <c r="K142" t="n">
        <v>0</v>
      </c>
      <c r="L142" t="n">
        <v>0.01</v>
      </c>
      <c r="M142" t="n">
        <v>0.335437</v>
      </c>
    </row>
    <row r="143">
      <c r="A143" t="inlineStr">
        <is>
          <t>opt-sgdm-lr0.01</t>
        </is>
      </c>
      <c r="B143" t="n">
        <v>2</v>
      </c>
      <c r="C143" t="n">
        <v>0.52521</v>
      </c>
      <c r="D143" t="n">
        <v>0.778199</v>
      </c>
      <c r="E143" t="n">
        <v>0.5512590000000001</v>
      </c>
      <c r="F143" t="n">
        <v>0.529374</v>
      </c>
      <c r="G143" t="n">
        <v>0.775779</v>
      </c>
      <c r="H143" t="n">
        <v>0.596746</v>
      </c>
      <c r="I143" t="n">
        <v>0.504189</v>
      </c>
      <c r="J143" t="n">
        <v>1.20392</v>
      </c>
      <c r="K143" t="n">
        <v>0</v>
      </c>
      <c r="L143" t="n">
        <v>0.01</v>
      </c>
      <c r="M143" t="n">
        <v>0.297051</v>
      </c>
    </row>
    <row r="144">
      <c r="A144" t="inlineStr">
        <is>
          <t>opt-sgdm-lr0.01</t>
        </is>
      </c>
      <c r="B144" t="n">
        <v>3</v>
      </c>
      <c r="C144" t="n">
        <v>0.490718</v>
      </c>
      <c r="D144" t="n">
        <v>0.794641</v>
      </c>
      <c r="E144" t="n">
        <v>0.5103569999999999</v>
      </c>
      <c r="F144" t="n">
        <v>0.495367</v>
      </c>
      <c r="G144" t="n">
        <v>0.7916570000000001</v>
      </c>
      <c r="H144" t="n">
        <v>0.598898</v>
      </c>
      <c r="I144" t="n">
        <v>0.590579</v>
      </c>
      <c r="J144" t="n">
        <v>1.406071</v>
      </c>
      <c r="K144" t="n">
        <v>0</v>
      </c>
      <c r="L144" t="n">
        <v>0.01</v>
      </c>
      <c r="M144" t="n">
        <v>0.308195</v>
      </c>
    </row>
    <row r="145">
      <c r="A145" t="inlineStr">
        <is>
          <t>opt-sgdm-lr0.01</t>
        </is>
      </c>
      <c r="B145" t="n">
        <v>4</v>
      </c>
      <c r="C145" t="n">
        <v>0.475127</v>
      </c>
      <c r="D145" t="n">
        <v>0.801373</v>
      </c>
      <c r="E145" t="n">
        <v>0.480874</v>
      </c>
      <c r="F145" t="n">
        <v>0.48051</v>
      </c>
      <c r="G145" t="n">
        <v>0.797659</v>
      </c>
      <c r="H145" t="n">
        <v>0.631211</v>
      </c>
      <c r="I145" t="n">
        <v>0.709002</v>
      </c>
      <c r="J145" t="n">
        <v>1.535484</v>
      </c>
      <c r="K145" t="n">
        <v>0</v>
      </c>
      <c r="L145" t="n">
        <v>0.01</v>
      </c>
      <c r="M145" t="n">
        <v>0.308373</v>
      </c>
    </row>
    <row r="146">
      <c r="A146" t="inlineStr">
        <is>
          <t>opt-sgdm-lr0.01</t>
        </is>
      </c>
      <c r="B146" t="n">
        <v>5</v>
      </c>
      <c r="C146" t="n">
        <v>0.442453</v>
      </c>
      <c r="D146" t="n">
        <v>0.816384</v>
      </c>
      <c r="E146" t="n">
        <v>0.457401</v>
      </c>
      <c r="F146" t="n">
        <v>0.448487</v>
      </c>
      <c r="G146" t="n">
        <v>0.812289</v>
      </c>
      <c r="H146" t="n">
        <v>0.6277470000000001</v>
      </c>
      <c r="I146" t="n">
        <v>0.786957</v>
      </c>
      <c r="J146" t="n">
        <v>2.019271</v>
      </c>
      <c r="K146" t="n">
        <v>0</v>
      </c>
      <c r="L146" t="n">
        <v>0.01</v>
      </c>
      <c r="M146" t="n">
        <v>0.303866</v>
      </c>
    </row>
    <row r="147">
      <c r="A147" t="inlineStr">
        <is>
          <t>opt-sgdm-lr0.01</t>
        </is>
      </c>
      <c r="B147" t="n">
        <v>6</v>
      </c>
      <c r="C147" t="n">
        <v>0.459004</v>
      </c>
      <c r="D147" t="n">
        <v>0.804059</v>
      </c>
      <c r="E147" t="n">
        <v>0.438194</v>
      </c>
      <c r="F147" t="n">
        <v>0.465253</v>
      </c>
      <c r="G147" t="n">
        <v>0.801091</v>
      </c>
      <c r="H147" t="n">
        <v>0.647873</v>
      </c>
      <c r="I147" t="n">
        <v>0.90047</v>
      </c>
      <c r="J147" t="n">
        <v>2.037493</v>
      </c>
      <c r="K147" t="n">
        <v>0</v>
      </c>
      <c r="L147" t="n">
        <v>0.01</v>
      </c>
      <c r="M147" t="n">
        <v>0.30074</v>
      </c>
    </row>
    <row r="148">
      <c r="A148" t="inlineStr">
        <is>
          <t>opt-sgdm-lr0.01</t>
        </is>
      </c>
      <c r="B148" t="n">
        <v>7</v>
      </c>
      <c r="C148" t="n">
        <v>0.406506</v>
      </c>
      <c r="D148" t="n">
        <v>0.831748</v>
      </c>
      <c r="E148" t="n">
        <v>0.422108</v>
      </c>
      <c r="F148" t="n">
        <v>0.4136</v>
      </c>
      <c r="G148" t="n">
        <v>0.827209</v>
      </c>
      <c r="H148" t="n">
        <v>0.675553</v>
      </c>
      <c r="I148" t="n">
        <v>0.971996</v>
      </c>
      <c r="J148" t="n">
        <v>2.294542</v>
      </c>
      <c r="K148" t="n">
        <v>0</v>
      </c>
      <c r="L148" t="n">
        <v>0.01</v>
      </c>
      <c r="M148" t="n">
        <v>0.300044</v>
      </c>
    </row>
    <row r="149">
      <c r="A149" t="inlineStr">
        <is>
          <t>opt-sgdm-lr0.01</t>
        </is>
      </c>
      <c r="B149" t="n">
        <v>8</v>
      </c>
      <c r="C149" t="n">
        <v>0.404824</v>
      </c>
      <c r="D149" t="n">
        <v>0.828338</v>
      </c>
      <c r="E149" t="n">
        <v>0.407459</v>
      </c>
      <c r="F149" t="n">
        <v>0.412136</v>
      </c>
      <c r="G149" t="n">
        <v>0.824423</v>
      </c>
      <c r="H149" t="n">
        <v>0.6893010000000001</v>
      </c>
      <c r="I149" t="n">
        <v>0.996642</v>
      </c>
      <c r="J149" t="n">
        <v>2.641115</v>
      </c>
      <c r="K149" t="n">
        <v>0</v>
      </c>
      <c r="L149" t="n">
        <v>0.01</v>
      </c>
      <c r="M149" t="n">
        <v>0.306838</v>
      </c>
    </row>
    <row r="150">
      <c r="A150" t="inlineStr">
        <is>
          <t>opt-sgdm-lr0.01</t>
        </is>
      </c>
      <c r="B150" t="n">
        <v>9</v>
      </c>
      <c r="C150" t="n">
        <v>0.390707</v>
      </c>
      <c r="D150" t="n">
        <v>0.838684</v>
      </c>
      <c r="E150" t="n">
        <v>0.393666</v>
      </c>
      <c r="F150" t="n">
        <v>0.397949</v>
      </c>
      <c r="G150" t="n">
        <v>0.83333</v>
      </c>
      <c r="H150" t="n">
        <v>0.678493</v>
      </c>
      <c r="I150" t="n">
        <v>1.03763</v>
      </c>
      <c r="J150" t="n">
        <v>2.444093</v>
      </c>
      <c r="K150" t="n">
        <v>0</v>
      </c>
      <c r="L150" t="n">
        <v>0.01</v>
      </c>
      <c r="M150" t="n">
        <v>0.303815</v>
      </c>
    </row>
    <row r="151">
      <c r="A151" t="inlineStr">
        <is>
          <t>opt-sgdm-lr0.01</t>
        </is>
      </c>
      <c r="B151" t="n">
        <v>10</v>
      </c>
      <c r="C151" t="n">
        <v>0.379903</v>
      </c>
      <c r="D151" t="n">
        <v>0.8425319999999999</v>
      </c>
      <c r="E151" t="n">
        <v>0.383391</v>
      </c>
      <c r="F151" t="n">
        <v>0.388112</v>
      </c>
      <c r="G151" t="n">
        <v>0.837159</v>
      </c>
      <c r="H151" t="n">
        <v>0.7179</v>
      </c>
      <c r="I151" t="n">
        <v>1.111838</v>
      </c>
      <c r="J151" t="n">
        <v>2.762155</v>
      </c>
      <c r="K151" t="n">
        <v>0</v>
      </c>
      <c r="L151" t="n">
        <v>0.01</v>
      </c>
      <c r="M151" t="n">
        <v>0.307528</v>
      </c>
    </row>
    <row r="152">
      <c r="A152" t="inlineStr">
        <is>
          <t>opt-sgdm-lr0.01</t>
        </is>
      </c>
      <c r="B152" t="n">
        <v>11</v>
      </c>
      <c r="C152" t="n">
        <v>0.37023</v>
      </c>
      <c r="D152" t="n">
        <v>0.848736</v>
      </c>
      <c r="E152" t="n">
        <v>0.374163</v>
      </c>
      <c r="F152" t="n">
        <v>0.377238</v>
      </c>
      <c r="G152" t="n">
        <v>0.845302</v>
      </c>
      <c r="H152" t="n">
        <v>0.704121</v>
      </c>
      <c r="I152" t="n">
        <v>1.19492</v>
      </c>
      <c r="J152" t="n">
        <v>2.947463</v>
      </c>
      <c r="K152" t="n">
        <v>0</v>
      </c>
      <c r="L152" t="n">
        <v>0.01</v>
      </c>
      <c r="M152" t="n">
        <v>0.303179</v>
      </c>
    </row>
    <row r="153">
      <c r="A153" t="inlineStr">
        <is>
          <t>opt-sgdm-lr0.01</t>
        </is>
      </c>
      <c r="B153" t="n">
        <v>12</v>
      </c>
      <c r="C153" t="n">
        <v>0.378396</v>
      </c>
      <c r="D153" t="n">
        <v>0.844428</v>
      </c>
      <c r="E153" t="n">
        <v>0.364818</v>
      </c>
      <c r="F153" t="n">
        <v>0.387262</v>
      </c>
      <c r="G153" t="n">
        <v>0.840677</v>
      </c>
      <c r="H153" t="n">
        <v>0.69738</v>
      </c>
      <c r="I153" t="n">
        <v>1.221535</v>
      </c>
      <c r="J153" t="n">
        <v>4.17532</v>
      </c>
      <c r="K153" t="n">
        <v>0</v>
      </c>
      <c r="L153" t="n">
        <v>0.01</v>
      </c>
      <c r="M153" t="n">
        <v>0.304665</v>
      </c>
    </row>
    <row r="154">
      <c r="A154" t="inlineStr">
        <is>
          <t>opt-sgdm-lr0.01</t>
        </is>
      </c>
      <c r="B154" t="n">
        <v>13</v>
      </c>
      <c r="C154" t="n">
        <v>0.355774</v>
      </c>
      <c r="D154" t="n">
        <v>0.855715</v>
      </c>
      <c r="E154" t="n">
        <v>0.356848</v>
      </c>
      <c r="F154" t="n">
        <v>0.365633</v>
      </c>
      <c r="G154" t="n">
        <v>0.850089</v>
      </c>
      <c r="H154" t="n">
        <v>0.737309</v>
      </c>
      <c r="I154" t="n">
        <v>1.270237</v>
      </c>
      <c r="J154" t="n">
        <v>3.219079</v>
      </c>
      <c r="K154" t="n">
        <v>0</v>
      </c>
      <c r="L154" t="n">
        <v>0.01</v>
      </c>
      <c r="M154" t="n">
        <v>0.334434</v>
      </c>
    </row>
    <row r="155">
      <c r="A155" t="inlineStr">
        <is>
          <t>opt-sgdm-lr0.01</t>
        </is>
      </c>
      <c r="B155" t="n">
        <v>14</v>
      </c>
      <c r="C155" t="n">
        <v>0.338895</v>
      </c>
      <c r="D155" t="n">
        <v>0.862298</v>
      </c>
      <c r="E155" t="n">
        <v>0.350126</v>
      </c>
      <c r="F155" t="n">
        <v>0.348563</v>
      </c>
      <c r="G155" t="n">
        <v>0.856113</v>
      </c>
      <c r="H155" t="n">
        <v>0.740012</v>
      </c>
      <c r="I155" t="n">
        <v>1.325285</v>
      </c>
      <c r="J155" t="n">
        <v>4.030042</v>
      </c>
      <c r="K155" t="n">
        <v>0</v>
      </c>
      <c r="L155" t="n">
        <v>0.01</v>
      </c>
      <c r="M155" t="n">
        <v>0.29828</v>
      </c>
    </row>
    <row r="156">
      <c r="A156" t="inlineStr">
        <is>
          <t>opt-sgdm-lr0.01</t>
        </is>
      </c>
      <c r="B156" t="n">
        <v>15</v>
      </c>
      <c r="C156" t="n">
        <v>0.33816</v>
      </c>
      <c r="D156" t="n">
        <v>0.86112</v>
      </c>
      <c r="E156" t="n">
        <v>0.343062</v>
      </c>
      <c r="F156" t="n">
        <v>0.347696</v>
      </c>
      <c r="G156" t="n">
        <v>0.856167</v>
      </c>
      <c r="H156" t="n">
        <v>0.745822</v>
      </c>
      <c r="I156" t="n">
        <v>1.290558</v>
      </c>
      <c r="J156" t="n">
        <v>3.463805</v>
      </c>
      <c r="K156" t="n">
        <v>0</v>
      </c>
      <c r="L156" t="n">
        <v>0.01</v>
      </c>
      <c r="M156" t="n">
        <v>0.303595</v>
      </c>
    </row>
    <row r="157">
      <c r="A157" t="inlineStr">
        <is>
          <t>opt-sgdm-lr0.01</t>
        </is>
      </c>
      <c r="B157" t="n">
        <v>16</v>
      </c>
      <c r="C157" t="n">
        <v>0.330156</v>
      </c>
      <c r="D157" t="n">
        <v>0.866079</v>
      </c>
      <c r="E157" t="n">
        <v>0.335257</v>
      </c>
      <c r="F157" t="n">
        <v>0.339641</v>
      </c>
      <c r="G157" t="n">
        <v>0.859878</v>
      </c>
      <c r="H157" t="n">
        <v>0.748729</v>
      </c>
      <c r="I157" t="n">
        <v>1.288494</v>
      </c>
      <c r="J157" t="n">
        <v>2.988877</v>
      </c>
      <c r="K157" t="n">
        <v>0</v>
      </c>
      <c r="L157" t="n">
        <v>0.01</v>
      </c>
      <c r="M157" t="n">
        <v>0.301124</v>
      </c>
    </row>
    <row r="158">
      <c r="A158" t="inlineStr">
        <is>
          <t>opt-sgdm-lr0.01</t>
        </is>
      </c>
      <c r="B158" t="n">
        <v>17</v>
      </c>
      <c r="C158" t="n">
        <v>0.32803</v>
      </c>
      <c r="D158" t="n">
        <v>0.8655310000000001</v>
      </c>
      <c r="E158" t="n">
        <v>0.328885</v>
      </c>
      <c r="F158" t="n">
        <v>0.338522</v>
      </c>
      <c r="G158" t="n">
        <v>0.859921</v>
      </c>
      <c r="H158" t="n">
        <v>0.721643</v>
      </c>
      <c r="I158" t="n">
        <v>1.314096</v>
      </c>
      <c r="J158" t="n">
        <v>3.134573</v>
      </c>
      <c r="K158" t="n">
        <v>0</v>
      </c>
      <c r="L158" t="n">
        <v>0.01</v>
      </c>
      <c r="M158" t="n">
        <v>0.300006</v>
      </c>
    </row>
    <row r="159">
      <c r="A159" t="inlineStr">
        <is>
          <t>opt-sgdm-lr0.01</t>
        </is>
      </c>
      <c r="B159" t="n">
        <v>18</v>
      </c>
      <c r="C159" t="n">
        <v>0.338486</v>
      </c>
      <c r="D159" t="n">
        <v>0.858369</v>
      </c>
      <c r="E159" t="n">
        <v>0.325792</v>
      </c>
      <c r="F159" t="n">
        <v>0.349318</v>
      </c>
      <c r="G159" t="n">
        <v>0.852262</v>
      </c>
      <c r="H159" t="n">
        <v>0.754339</v>
      </c>
      <c r="I159" t="n">
        <v>1.405819</v>
      </c>
      <c r="J159" t="n">
        <v>4.355395</v>
      </c>
      <c r="K159" t="n">
        <v>0</v>
      </c>
      <c r="L159" t="n">
        <v>0.01</v>
      </c>
      <c r="M159" t="n">
        <v>0.317888</v>
      </c>
    </row>
    <row r="160">
      <c r="A160" t="inlineStr">
        <is>
          <t>opt-sgdm-lr0.01</t>
        </is>
      </c>
      <c r="B160" t="n">
        <v>19</v>
      </c>
      <c r="C160" t="n">
        <v>0.305788</v>
      </c>
      <c r="D160" t="n">
        <v>0.877735</v>
      </c>
      <c r="E160" t="n">
        <v>0.322532</v>
      </c>
      <c r="F160" t="n">
        <v>0.316237</v>
      </c>
      <c r="G160" t="n">
        <v>0.872098</v>
      </c>
      <c r="H160" t="n">
        <v>0.764414</v>
      </c>
      <c r="I160" t="n">
        <v>1.456174</v>
      </c>
      <c r="J160" t="n">
        <v>3.515937</v>
      </c>
      <c r="K160" t="n">
        <v>0</v>
      </c>
      <c r="L160" t="n">
        <v>0.01</v>
      </c>
      <c r="M160" t="n">
        <v>0.338938</v>
      </c>
    </row>
    <row r="161">
      <c r="A161" t="inlineStr">
        <is>
          <t>opt-sgdm-lr0.01</t>
        </is>
      </c>
      <c r="B161" t="n">
        <v>20</v>
      </c>
      <c r="C161" t="n">
        <v>0.317303</v>
      </c>
      <c r="D161" t="n">
        <v>0.871057</v>
      </c>
      <c r="E161" t="n">
        <v>0.313859</v>
      </c>
      <c r="F161" t="n">
        <v>0.327897</v>
      </c>
      <c r="G161" t="n">
        <v>0.8663110000000001</v>
      </c>
      <c r="H161" t="n">
        <v>0.747128</v>
      </c>
      <c r="I161" t="n">
        <v>1.318442</v>
      </c>
      <c r="J161" t="n">
        <v>3.072217</v>
      </c>
      <c r="K161" t="n">
        <v>0</v>
      </c>
      <c r="L161" t="n">
        <v>0.01</v>
      </c>
      <c r="M161" t="n">
        <v>0.304572</v>
      </c>
    </row>
    <row r="162">
      <c r="A162" t="inlineStr">
        <is>
          <t>opt-sgdm-lr0.03</t>
        </is>
      </c>
      <c r="B162" t="n">
        <v>1</v>
      </c>
      <c r="C162" t="n">
        <v>0.51413</v>
      </c>
      <c r="D162" t="n">
        <v>0.781251</v>
      </c>
      <c r="E162" t="n">
        <v>0.604071</v>
      </c>
      <c r="F162" t="n">
        <v>0.517011</v>
      </c>
      <c r="G162" t="n">
        <v>0.779706</v>
      </c>
      <c r="H162" t="n">
        <v>0.570299</v>
      </c>
      <c r="I162" t="n">
        <v>0.529717</v>
      </c>
      <c r="J162" t="n">
        <v>2.871076</v>
      </c>
      <c r="K162" t="n">
        <v>0</v>
      </c>
      <c r="L162" t="n">
        <v>0.03</v>
      </c>
      <c r="M162" t="n">
        <v>0.300564</v>
      </c>
    </row>
    <row r="163">
      <c r="A163" t="inlineStr">
        <is>
          <t>opt-sgdm-lr0.03</t>
        </is>
      </c>
      <c r="B163" t="n">
        <v>2</v>
      </c>
      <c r="C163" t="n">
        <v>0.46557</v>
      </c>
      <c r="D163" t="n">
        <v>0.801502</v>
      </c>
      <c r="E163" t="n">
        <v>0.48379</v>
      </c>
      <c r="F163" t="n">
        <v>0.470816</v>
      </c>
      <c r="G163" t="n">
        <v>0.798692</v>
      </c>
      <c r="H163" t="n">
        <v>0.666938</v>
      </c>
      <c r="I163" t="n">
        <v>0.668592</v>
      </c>
      <c r="J163" t="n">
        <v>1.541065</v>
      </c>
      <c r="K163" t="n">
        <v>0</v>
      </c>
      <c r="L163" t="n">
        <v>0.03</v>
      </c>
      <c r="M163" t="n">
        <v>0.303268</v>
      </c>
    </row>
    <row r="164">
      <c r="A164" t="inlineStr">
        <is>
          <t>opt-sgdm-lr0.03</t>
        </is>
      </c>
      <c r="B164" t="n">
        <v>3</v>
      </c>
      <c r="C164" t="n">
        <v>0.425522</v>
      </c>
      <c r="D164" t="n">
        <v>0.82147</v>
      </c>
      <c r="E164" t="n">
        <v>0.438325</v>
      </c>
      <c r="F164" t="n">
        <v>0.431962</v>
      </c>
      <c r="G164" t="n">
        <v>0.819249</v>
      </c>
      <c r="H164" t="n">
        <v>0.651255</v>
      </c>
      <c r="I164" t="n">
        <v>0.8212120000000001</v>
      </c>
      <c r="J164" t="n">
        <v>1.990469</v>
      </c>
      <c r="K164" t="n">
        <v>0</v>
      </c>
      <c r="L164" t="n">
        <v>0.03</v>
      </c>
      <c r="M164" t="n">
        <v>0.303992</v>
      </c>
    </row>
    <row r="165">
      <c r="A165" t="inlineStr">
        <is>
          <t>opt-sgdm-lr0.03</t>
        </is>
      </c>
      <c r="B165" t="n">
        <v>4</v>
      </c>
      <c r="C165" t="n">
        <v>0.394612</v>
      </c>
      <c r="D165" t="n">
        <v>0.833717</v>
      </c>
      <c r="E165" t="n">
        <v>0.409587</v>
      </c>
      <c r="F165" t="n">
        <v>0.401244</v>
      </c>
      <c r="G165" t="n">
        <v>0.829371</v>
      </c>
      <c r="H165" t="n">
        <v>0.712902</v>
      </c>
      <c r="I165" t="n">
        <v>0.887661</v>
      </c>
      <c r="J165" t="n">
        <v>2.077754</v>
      </c>
      <c r="K165" t="n">
        <v>0</v>
      </c>
      <c r="L165" t="n">
        <v>0.03</v>
      </c>
      <c r="M165" t="n">
        <v>0.302947</v>
      </c>
    </row>
    <row r="166">
      <c r="A166" t="inlineStr">
        <is>
          <t>opt-sgdm-lr0.03</t>
        </is>
      </c>
      <c r="B166" t="n">
        <v>5</v>
      </c>
      <c r="C166" t="n">
        <v>0.384699</v>
      </c>
      <c r="D166" t="n">
        <v>0.838573</v>
      </c>
      <c r="E166" t="n">
        <v>0.384255</v>
      </c>
      <c r="F166" t="n">
        <v>0.391234</v>
      </c>
      <c r="G166" t="n">
        <v>0.835836</v>
      </c>
      <c r="H166" t="n">
        <v>0.694091</v>
      </c>
      <c r="I166" t="n">
        <v>0.900744</v>
      </c>
      <c r="J166" t="n">
        <v>1.960201</v>
      </c>
      <c r="K166" t="n">
        <v>0</v>
      </c>
      <c r="L166" t="n">
        <v>0.03</v>
      </c>
      <c r="M166" t="n">
        <v>0.302727</v>
      </c>
    </row>
    <row r="167">
      <c r="A167" t="inlineStr">
        <is>
          <t>opt-sgdm-lr0.03</t>
        </is>
      </c>
      <c r="B167" t="n">
        <v>6</v>
      </c>
      <c r="C167" t="n">
        <v>0.362373</v>
      </c>
      <c r="D167" t="n">
        <v>0.851455</v>
      </c>
      <c r="E167" t="n">
        <v>0.367579</v>
      </c>
      <c r="F167" t="n">
        <v>0.369601</v>
      </c>
      <c r="G167" t="n">
        <v>0.8476900000000001</v>
      </c>
      <c r="H167" t="n">
        <v>0.7277670000000001</v>
      </c>
      <c r="I167" t="n">
        <v>0.951147</v>
      </c>
      <c r="J167" t="n">
        <v>2.226405</v>
      </c>
      <c r="K167" t="n">
        <v>0</v>
      </c>
      <c r="L167" t="n">
        <v>0.03</v>
      </c>
      <c r="M167" t="n">
        <v>0.307397</v>
      </c>
    </row>
    <row r="168">
      <c r="A168" t="inlineStr">
        <is>
          <t>opt-sgdm-lr0.03</t>
        </is>
      </c>
      <c r="B168" t="n">
        <v>7</v>
      </c>
      <c r="C168" t="n">
        <v>0.348249</v>
      </c>
      <c r="D168" t="n">
        <v>0.854472</v>
      </c>
      <c r="E168" t="n">
        <v>0.351385</v>
      </c>
      <c r="F168" t="n">
        <v>0.358409</v>
      </c>
      <c r="G168" t="n">
        <v>0.848594</v>
      </c>
      <c r="H168" t="n">
        <v>0.746792</v>
      </c>
      <c r="I168" t="n">
        <v>0.964041</v>
      </c>
      <c r="J168" t="n">
        <v>2.387231</v>
      </c>
      <c r="K168" t="n">
        <v>0</v>
      </c>
      <c r="L168" t="n">
        <v>0.03</v>
      </c>
      <c r="M168" t="n">
        <v>0.299966</v>
      </c>
    </row>
    <row r="169">
      <c r="A169" t="inlineStr">
        <is>
          <t>opt-sgdm-lr0.03</t>
        </is>
      </c>
      <c r="B169" t="n">
        <v>8</v>
      </c>
      <c r="C169" t="n">
        <v>0.339511</v>
      </c>
      <c r="D169" t="n">
        <v>0.858022</v>
      </c>
      <c r="E169" t="n">
        <v>0.34016</v>
      </c>
      <c r="F169" t="n">
        <v>0.348157</v>
      </c>
      <c r="G169" t="n">
        <v>0.85294</v>
      </c>
      <c r="H169" t="n">
        <v>0.755498</v>
      </c>
      <c r="I169" t="n">
        <v>0.991653</v>
      </c>
      <c r="J169" t="n">
        <v>2.264332</v>
      </c>
      <c r="K169" t="n">
        <v>0</v>
      </c>
      <c r="L169" t="n">
        <v>0.03</v>
      </c>
      <c r="M169" t="n">
        <v>0.29994</v>
      </c>
    </row>
    <row r="170">
      <c r="A170" t="inlineStr">
        <is>
          <t>opt-sgdm-lr0.03</t>
        </is>
      </c>
      <c r="B170" t="n">
        <v>9</v>
      </c>
      <c r="C170" t="n">
        <v>0.30964</v>
      </c>
      <c r="D170" t="n">
        <v>0.873978</v>
      </c>
      <c r="E170" t="n">
        <v>0.327329</v>
      </c>
      <c r="F170" t="n">
        <v>0.320171</v>
      </c>
      <c r="G170" t="n">
        <v>0.869011</v>
      </c>
      <c r="H170" t="n">
        <v>0.755132</v>
      </c>
      <c r="I170" t="n">
        <v>0.973355</v>
      </c>
      <c r="J170" t="n">
        <v>2.176049</v>
      </c>
      <c r="K170" t="n">
        <v>0</v>
      </c>
      <c r="L170" t="n">
        <v>0.03</v>
      </c>
      <c r="M170" t="n">
        <v>0.305053</v>
      </c>
    </row>
    <row r="171">
      <c r="A171" t="inlineStr">
        <is>
          <t>opt-sgdm-lr0.03</t>
        </is>
      </c>
      <c r="B171" t="n">
        <v>10</v>
      </c>
      <c r="C171" t="n">
        <v>0.316066</v>
      </c>
      <c r="D171" t="n">
        <v>0.868763</v>
      </c>
      <c r="E171" t="n">
        <v>0.317971</v>
      </c>
      <c r="F171" t="n">
        <v>0.327532</v>
      </c>
      <c r="G171" t="n">
        <v>0.864138</v>
      </c>
      <c r="H171" t="n">
        <v>0.764389</v>
      </c>
      <c r="I171" t="n">
        <v>0.99608</v>
      </c>
      <c r="J171" t="n">
        <v>2.460941</v>
      </c>
      <c r="K171" t="n">
        <v>0</v>
      </c>
      <c r="L171" t="n">
        <v>0.03</v>
      </c>
      <c r="M171" t="n">
        <v>0.328286</v>
      </c>
    </row>
    <row r="172">
      <c r="A172" t="inlineStr">
        <is>
          <t>opt-sgdm-lr0.03</t>
        </is>
      </c>
      <c r="B172" t="n">
        <v>11</v>
      </c>
      <c r="C172" t="n">
        <v>0.298458</v>
      </c>
      <c r="D172" t="n">
        <v>0.876826</v>
      </c>
      <c r="E172" t="n">
        <v>0.308228</v>
      </c>
      <c r="F172" t="n">
        <v>0.308851</v>
      </c>
      <c r="G172" t="n">
        <v>0.871969</v>
      </c>
      <c r="H172" t="n">
        <v>0.771093</v>
      </c>
      <c r="I172" t="n">
        <v>0.99998</v>
      </c>
      <c r="J172" t="n">
        <v>2.112646</v>
      </c>
      <c r="K172" t="n">
        <v>0</v>
      </c>
      <c r="L172" t="n">
        <v>0.03</v>
      </c>
      <c r="M172" t="n">
        <v>0.302774</v>
      </c>
    </row>
    <row r="173">
      <c r="A173" t="inlineStr">
        <is>
          <t>opt-sgdm-lr0.03</t>
        </is>
      </c>
      <c r="B173" t="n">
        <v>12</v>
      </c>
      <c r="C173" t="n">
        <v>0.30991</v>
      </c>
      <c r="D173" t="n">
        <v>0.870358</v>
      </c>
      <c r="E173" t="n">
        <v>0.301115</v>
      </c>
      <c r="F173" t="n">
        <v>0.322841</v>
      </c>
      <c r="G173" t="n">
        <v>0.865461</v>
      </c>
      <c r="H173" t="n">
        <v>0.766912</v>
      </c>
      <c r="I173" t="n">
        <v>1.020928</v>
      </c>
      <c r="J173" t="n">
        <v>2.397627</v>
      </c>
      <c r="K173" t="n">
        <v>0</v>
      </c>
      <c r="L173" t="n">
        <v>0.03</v>
      </c>
      <c r="M173" t="n">
        <v>0.304616</v>
      </c>
    </row>
    <row r="174">
      <c r="A174" t="inlineStr">
        <is>
          <t>opt-sgdm-lr0.03</t>
        </is>
      </c>
      <c r="B174" t="n">
        <v>13</v>
      </c>
      <c r="C174" t="n">
        <v>0.307111</v>
      </c>
      <c r="D174" t="n">
        <v>0.873061</v>
      </c>
      <c r="E174" t="n">
        <v>0.294281</v>
      </c>
      <c r="F174" t="n">
        <v>0.321485</v>
      </c>
      <c r="G174" t="n">
        <v>0.866021</v>
      </c>
      <c r="H174" t="n">
        <v>0.794184</v>
      </c>
      <c r="I174" t="n">
        <v>1.033447</v>
      </c>
      <c r="J174" t="n">
        <v>2.133978</v>
      </c>
      <c r="K174" t="n">
        <v>0</v>
      </c>
      <c r="L174" t="n">
        <v>0.03</v>
      </c>
      <c r="M174" t="n">
        <v>0.315598</v>
      </c>
    </row>
    <row r="175">
      <c r="A175" t="inlineStr">
        <is>
          <t>opt-sgdm-lr0.03</t>
        </is>
      </c>
      <c r="B175" t="n">
        <v>14</v>
      </c>
      <c r="C175" t="n">
        <v>0.287689</v>
      </c>
      <c r="D175" t="n">
        <v>0.880819</v>
      </c>
      <c r="E175" t="n">
        <v>0.288189</v>
      </c>
      <c r="F175" t="n">
        <v>0.299568</v>
      </c>
      <c r="G175" t="n">
        <v>0.8762180000000001</v>
      </c>
      <c r="H175" t="n">
        <v>0.780061</v>
      </c>
      <c r="I175" t="n">
        <v>1.042046</v>
      </c>
      <c r="J175" t="n">
        <v>2.34427</v>
      </c>
      <c r="K175" t="n">
        <v>0</v>
      </c>
      <c r="L175" t="n">
        <v>0.03</v>
      </c>
      <c r="M175" t="n">
        <v>0.305881</v>
      </c>
    </row>
    <row r="176">
      <c r="A176" t="inlineStr">
        <is>
          <t>opt-sgdm-lr0.03</t>
        </is>
      </c>
      <c r="B176" t="n">
        <v>15</v>
      </c>
      <c r="C176" t="n">
        <v>0.262509</v>
      </c>
      <c r="D176" t="n">
        <v>0.89528</v>
      </c>
      <c r="E176" t="n">
        <v>0.28035</v>
      </c>
      <c r="F176" t="n">
        <v>0.275182</v>
      </c>
      <c r="G176" t="n">
        <v>0.888815</v>
      </c>
      <c r="H176" t="n">
        <v>0.809752</v>
      </c>
      <c r="I176" t="n">
        <v>0.991577</v>
      </c>
      <c r="J176" t="n">
        <v>1.864598</v>
      </c>
      <c r="K176" t="n">
        <v>0</v>
      </c>
      <c r="L176" t="n">
        <v>0.03</v>
      </c>
      <c r="M176" t="n">
        <v>0.303562</v>
      </c>
    </row>
    <row r="177">
      <c r="A177" t="inlineStr">
        <is>
          <t>opt-sgdm-lr0.03</t>
        </is>
      </c>
      <c r="B177" t="n">
        <v>16</v>
      </c>
      <c r="C177" t="n">
        <v>0.285446</v>
      </c>
      <c r="D177" t="n">
        <v>0.883807</v>
      </c>
      <c r="E177" t="n">
        <v>0.275344</v>
      </c>
      <c r="F177" t="n">
        <v>0.299405</v>
      </c>
      <c r="G177" t="n">
        <v>0.878563</v>
      </c>
      <c r="H177" t="n">
        <v>0.791619</v>
      </c>
      <c r="I177" t="n">
        <v>1.027553</v>
      </c>
      <c r="J177" t="n">
        <v>1.991365</v>
      </c>
      <c r="K177" t="n">
        <v>0</v>
      </c>
      <c r="L177" t="n">
        <v>0.03</v>
      </c>
      <c r="M177" t="n">
        <v>0.309783</v>
      </c>
    </row>
    <row r="178">
      <c r="A178" t="inlineStr">
        <is>
          <t>opt-sgdm-lr0.03</t>
        </is>
      </c>
      <c r="B178" t="n">
        <v>17</v>
      </c>
      <c r="C178" t="n">
        <v>0.262636</v>
      </c>
      <c r="D178" t="n">
        <v>0.893884</v>
      </c>
      <c r="E178" t="n">
        <v>0.268394</v>
      </c>
      <c r="F178" t="n">
        <v>0.276486</v>
      </c>
      <c r="G178" t="n">
        <v>0.888062</v>
      </c>
      <c r="H178" t="n">
        <v>0.816919</v>
      </c>
      <c r="I178" t="n">
        <v>0.994938</v>
      </c>
      <c r="J178" t="n">
        <v>2.132724</v>
      </c>
      <c r="K178" t="n">
        <v>0</v>
      </c>
      <c r="L178" t="n">
        <v>0.03</v>
      </c>
      <c r="M178" t="n">
        <v>0.365712</v>
      </c>
    </row>
    <row r="179">
      <c r="A179" t="inlineStr">
        <is>
          <t>opt-sgdm-lr0.03</t>
        </is>
      </c>
      <c r="B179" t="n">
        <v>18</v>
      </c>
      <c r="C179" t="n">
        <v>0.282211</v>
      </c>
      <c r="D179" t="n">
        <v>0.883264</v>
      </c>
      <c r="E179" t="n">
        <v>0.264281</v>
      </c>
      <c r="F179" t="n">
        <v>0.297354</v>
      </c>
      <c r="G179" t="n">
        <v>0.877445</v>
      </c>
      <c r="H179" t="n">
        <v>0.81818</v>
      </c>
      <c r="I179" t="n">
        <v>1.012719</v>
      </c>
      <c r="J179" t="n">
        <v>2.290446</v>
      </c>
      <c r="K179" t="n">
        <v>0</v>
      </c>
      <c r="L179" t="n">
        <v>0.03</v>
      </c>
      <c r="M179" t="n">
        <v>0.319142</v>
      </c>
    </row>
    <row r="180">
      <c r="A180" t="inlineStr">
        <is>
          <t>opt-sgdm-lr0.03</t>
        </is>
      </c>
      <c r="B180" t="n">
        <v>19</v>
      </c>
      <c r="C180" t="n">
        <v>0.257742</v>
      </c>
      <c r="D180" t="n">
        <v>0.895215</v>
      </c>
      <c r="E180" t="n">
        <v>0.264448</v>
      </c>
      <c r="F180" t="n">
        <v>0.272278</v>
      </c>
      <c r="G180" t="n">
        <v>0.888965</v>
      </c>
      <c r="H180" t="n">
        <v>0.826338</v>
      </c>
      <c r="I180" t="n">
        <v>1.055297</v>
      </c>
      <c r="J180" t="n">
        <v>2.354645</v>
      </c>
      <c r="K180" t="n">
        <v>0</v>
      </c>
      <c r="L180" t="n">
        <v>0.03</v>
      </c>
      <c r="M180" t="n">
        <v>0.312684</v>
      </c>
    </row>
    <row r="181">
      <c r="A181" t="inlineStr">
        <is>
          <t>opt-sgdm-lr0.03</t>
        </is>
      </c>
      <c r="B181" t="n">
        <v>20</v>
      </c>
      <c r="C181" t="n">
        <v>0.240644</v>
      </c>
      <c r="D181" t="n">
        <v>0.902791</v>
      </c>
      <c r="E181" t="n">
        <v>0.253587</v>
      </c>
      <c r="F181" t="n">
        <v>0.257257</v>
      </c>
      <c r="G181" t="n">
        <v>0.896108</v>
      </c>
      <c r="H181" t="n">
        <v>0.8280149999999999</v>
      </c>
      <c r="I181" t="n">
        <v>0.969527</v>
      </c>
      <c r="J181" t="n">
        <v>2.313707</v>
      </c>
      <c r="K181" t="n">
        <v>0</v>
      </c>
      <c r="L181" t="n">
        <v>0.03</v>
      </c>
      <c r="M181" t="n">
        <v>0.308199</v>
      </c>
    </row>
    <row r="182">
      <c r="A182" t="inlineStr">
        <is>
          <t>opt-sgdm-lr0.1</t>
        </is>
      </c>
      <c r="B182" t="n">
        <v>1</v>
      </c>
      <c r="C182" t="n">
        <v>0.471352</v>
      </c>
      <c r="D182" t="n">
        <v>0.795265</v>
      </c>
      <c r="E182" t="n">
        <v>0.548132</v>
      </c>
      <c r="F182" t="n">
        <v>0.474983</v>
      </c>
      <c r="G182" t="n">
        <v>0.794195</v>
      </c>
      <c r="H182" t="n">
        <v>0.631339</v>
      </c>
      <c r="I182" t="n">
        <v>0.528693</v>
      </c>
      <c r="J182" t="n">
        <v>2.871076</v>
      </c>
      <c r="K182" t="n">
        <v>0</v>
      </c>
      <c r="L182" t="n">
        <v>0.1</v>
      </c>
      <c r="M182" t="n">
        <v>0.297818</v>
      </c>
    </row>
    <row r="183">
      <c r="A183" t="inlineStr">
        <is>
          <t>opt-sgdm-lr0.1</t>
        </is>
      </c>
      <c r="B183" t="n">
        <v>2</v>
      </c>
      <c r="C183" t="n">
        <v>0.396347</v>
      </c>
      <c r="D183" t="n">
        <v>0.832283</v>
      </c>
      <c r="E183" t="n">
        <v>0.430587</v>
      </c>
      <c r="F183" t="n">
        <v>0.403189</v>
      </c>
      <c r="G183" t="n">
        <v>0.828995</v>
      </c>
      <c r="H183" t="n">
        <v>0.710112</v>
      </c>
      <c r="I183" t="n">
        <v>0.5625</v>
      </c>
      <c r="J183" t="n">
        <v>1.167482</v>
      </c>
      <c r="K183" t="n">
        <v>0</v>
      </c>
      <c r="L183" t="n">
        <v>0.1</v>
      </c>
      <c r="M183" t="n">
        <v>0.305722</v>
      </c>
    </row>
    <row r="184">
      <c r="A184" t="inlineStr">
        <is>
          <t>opt-sgdm-lr0.1</t>
        </is>
      </c>
      <c r="B184" t="n">
        <v>3</v>
      </c>
      <c r="C184" t="n">
        <v>0.37243</v>
      </c>
      <c r="D184" t="n">
        <v>0.848171</v>
      </c>
      <c r="E184" t="n">
        <v>0.385701</v>
      </c>
      <c r="F184" t="n">
        <v>0.380077</v>
      </c>
      <c r="G184" t="n">
        <v>0.845098</v>
      </c>
      <c r="H184" t="n">
        <v>0.7060380000000001</v>
      </c>
      <c r="I184" t="n">
        <v>0.588116</v>
      </c>
      <c r="J184" t="n">
        <v>1.211489</v>
      </c>
      <c r="K184" t="n">
        <v>0</v>
      </c>
      <c r="L184" t="n">
        <v>0.1</v>
      </c>
      <c r="M184" t="n">
        <v>0.30818</v>
      </c>
    </row>
    <row r="185">
      <c r="A185" t="inlineStr">
        <is>
          <t>opt-sgdm-lr0.1</t>
        </is>
      </c>
      <c r="B185" t="n">
        <v>4</v>
      </c>
      <c r="C185" t="n">
        <v>0.342318</v>
      </c>
      <c r="D185" t="n">
        <v>0.857433</v>
      </c>
      <c r="E185" t="n">
        <v>0.357751</v>
      </c>
      <c r="F185" t="n">
        <v>0.350453</v>
      </c>
      <c r="G185" t="n">
        <v>0.853123</v>
      </c>
      <c r="H185" t="n">
        <v>0.759688</v>
      </c>
      <c r="I185" t="n">
        <v>0.57967</v>
      </c>
      <c r="J185" t="n">
        <v>1.34742</v>
      </c>
      <c r="K185" t="n">
        <v>0</v>
      </c>
      <c r="L185" t="n">
        <v>0.1</v>
      </c>
      <c r="M185" t="n">
        <v>0.305249</v>
      </c>
    </row>
    <row r="186">
      <c r="A186" t="inlineStr">
        <is>
          <t>opt-sgdm-lr0.1</t>
        </is>
      </c>
      <c r="B186" t="n">
        <v>5</v>
      </c>
      <c r="C186" t="n">
        <v>0.342899</v>
      </c>
      <c r="D186" t="n">
        <v>0.856583</v>
      </c>
      <c r="E186" t="n">
        <v>0.332211</v>
      </c>
      <c r="F186" t="n">
        <v>0.350965</v>
      </c>
      <c r="G186" t="n">
        <v>0.853295</v>
      </c>
      <c r="H186" t="n">
        <v>0.770932</v>
      </c>
      <c r="I186" t="n">
        <v>0.57268</v>
      </c>
      <c r="J186" t="n">
        <v>1.092099</v>
      </c>
      <c r="K186" t="n">
        <v>0</v>
      </c>
      <c r="L186" t="n">
        <v>0.1</v>
      </c>
      <c r="M186" t="n">
        <v>0.305256</v>
      </c>
    </row>
    <row r="187">
      <c r="A187" t="inlineStr">
        <is>
          <t>opt-sgdm-lr0.1</t>
        </is>
      </c>
      <c r="B187" t="n">
        <v>6</v>
      </c>
      <c r="C187" t="n">
        <v>0.310516</v>
      </c>
      <c r="D187" t="n">
        <v>0.872076</v>
      </c>
      <c r="E187" t="n">
        <v>0.318286</v>
      </c>
      <c r="F187" t="n">
        <v>0.320816</v>
      </c>
      <c r="G187" t="n">
        <v>0.869011</v>
      </c>
      <c r="H187" t="n">
        <v>0.781062</v>
      </c>
      <c r="I187" t="n">
        <v>0.585139</v>
      </c>
      <c r="J187" t="n">
        <v>1.141228</v>
      </c>
      <c r="K187" t="n">
        <v>0</v>
      </c>
      <c r="L187" t="n">
        <v>0.1</v>
      </c>
      <c r="M187" t="n">
        <v>0.307588</v>
      </c>
    </row>
    <row r="188">
      <c r="A188" t="inlineStr">
        <is>
          <t>opt-sgdm-lr0.1</t>
        </is>
      </c>
      <c r="B188" t="n">
        <v>7</v>
      </c>
      <c r="C188" t="n">
        <v>0.293549</v>
      </c>
      <c r="D188" t="n">
        <v>0.878399</v>
      </c>
      <c r="E188" t="n">
        <v>0.303279</v>
      </c>
      <c r="F188" t="n">
        <v>0.30549</v>
      </c>
      <c r="G188" t="n">
        <v>0.87426</v>
      </c>
      <c r="H188" t="n">
        <v>0.7911319999999999</v>
      </c>
      <c r="I188" t="n">
        <v>0.578661</v>
      </c>
      <c r="J188" t="n">
        <v>0.965039</v>
      </c>
      <c r="K188" t="n">
        <v>0</v>
      </c>
      <c r="L188" t="n">
        <v>0.1</v>
      </c>
      <c r="M188" t="n">
        <v>0.307389</v>
      </c>
    </row>
    <row r="189">
      <c r="A189" t="inlineStr">
        <is>
          <t>opt-sgdm-lr0.1</t>
        </is>
      </c>
      <c r="B189" t="n">
        <v>8</v>
      </c>
      <c r="C189" t="n">
        <v>0.287884</v>
      </c>
      <c r="D189" t="n">
        <v>0.882024</v>
      </c>
      <c r="E189" t="n">
        <v>0.290423</v>
      </c>
      <c r="F189" t="n">
        <v>0.301426</v>
      </c>
      <c r="G189" t="n">
        <v>0.8750559999999999</v>
      </c>
      <c r="H189" t="n">
        <v>0.814913</v>
      </c>
      <c r="I189" t="n">
        <v>0.568787</v>
      </c>
      <c r="J189" t="n">
        <v>1.061584</v>
      </c>
      <c r="K189" t="n">
        <v>0</v>
      </c>
      <c r="L189" t="n">
        <v>0.1</v>
      </c>
      <c r="M189" t="n">
        <v>0.302791</v>
      </c>
    </row>
    <row r="190">
      <c r="A190" t="inlineStr">
        <is>
          <t>opt-sgdm-lr0.1</t>
        </is>
      </c>
      <c r="B190" t="n">
        <v>9</v>
      </c>
      <c r="C190" t="n">
        <v>0.265864</v>
      </c>
      <c r="D190" t="n">
        <v>0.891746</v>
      </c>
      <c r="E190" t="n">
        <v>0.279583</v>
      </c>
      <c r="F190" t="n">
        <v>0.28318</v>
      </c>
      <c r="G190" t="n">
        <v>0.885555</v>
      </c>
      <c r="H190" t="n">
        <v>0.8064789999999999</v>
      </c>
      <c r="I190" t="n">
        <v>0.576505</v>
      </c>
      <c r="J190" t="n">
        <v>0.964861</v>
      </c>
      <c r="K190" t="n">
        <v>0</v>
      </c>
      <c r="L190" t="n">
        <v>0.1</v>
      </c>
      <c r="M190" t="n">
        <v>0.303096</v>
      </c>
    </row>
    <row r="191">
      <c r="A191" t="inlineStr">
        <is>
          <t>opt-sgdm-lr0.1</t>
        </is>
      </c>
      <c r="B191" t="n">
        <v>10</v>
      </c>
      <c r="C191" t="n">
        <v>0.264281</v>
      </c>
      <c r="D191" t="n">
        <v>0.892329</v>
      </c>
      <c r="E191" t="n">
        <v>0.270818</v>
      </c>
      <c r="F191" t="n">
        <v>0.280646</v>
      </c>
      <c r="G191" t="n">
        <v>0.885728</v>
      </c>
      <c r="H191" t="n">
        <v>0.820655</v>
      </c>
      <c r="I191" t="n">
        <v>0.575846</v>
      </c>
      <c r="J191" t="n">
        <v>1.095308</v>
      </c>
      <c r="K191" t="n">
        <v>0</v>
      </c>
      <c r="L191" t="n">
        <v>0.1</v>
      </c>
      <c r="M191" t="n">
        <v>0.315185</v>
      </c>
    </row>
    <row r="192">
      <c r="A192" t="inlineStr">
        <is>
          <t>opt-sgdm-lr0.1</t>
        </is>
      </c>
      <c r="B192" t="n">
        <v>11</v>
      </c>
      <c r="C192" t="n">
        <v>0.259847</v>
      </c>
      <c r="D192" t="n">
        <v>0.894473</v>
      </c>
      <c r="E192" t="n">
        <v>0.261304</v>
      </c>
      <c r="F192" t="n">
        <v>0.277447</v>
      </c>
      <c r="G192" t="n">
        <v>0.889374</v>
      </c>
      <c r="H192" t="n">
        <v>0.817176</v>
      </c>
      <c r="I192" t="n">
        <v>0.5698800000000001</v>
      </c>
      <c r="J192" t="n">
        <v>1.009227</v>
      </c>
      <c r="K192" t="n">
        <v>0</v>
      </c>
      <c r="L192" t="n">
        <v>0.1</v>
      </c>
      <c r="M192" t="n">
        <v>0.309051</v>
      </c>
    </row>
    <row r="193">
      <c r="A193" t="inlineStr">
        <is>
          <t>opt-sgdm-lr0.1</t>
        </is>
      </c>
      <c r="B193" t="n">
        <v>12</v>
      </c>
      <c r="C193" t="n">
        <v>0.237419</v>
      </c>
      <c r="D193" t="n">
        <v>0.903732</v>
      </c>
      <c r="E193" t="n">
        <v>0.254433</v>
      </c>
      <c r="F193" t="n">
        <v>0.257309</v>
      </c>
      <c r="G193" t="n">
        <v>0.895527</v>
      </c>
      <c r="H193" t="n">
        <v>0.822666</v>
      </c>
      <c r="I193" t="n">
        <v>0.576478</v>
      </c>
      <c r="J193" t="n">
        <v>1.371673</v>
      </c>
      <c r="K193" t="n">
        <v>0</v>
      </c>
      <c r="L193" t="n">
        <v>0.1</v>
      </c>
      <c r="M193" t="n">
        <v>0.311699</v>
      </c>
    </row>
    <row r="194">
      <c r="A194" t="inlineStr">
        <is>
          <t>opt-sgdm-lr0.1</t>
        </is>
      </c>
      <c r="B194" t="n">
        <v>13</v>
      </c>
      <c r="C194" t="n">
        <v>0.256847</v>
      </c>
      <c r="D194" t="n">
        <v>0.896226</v>
      </c>
      <c r="E194" t="n">
        <v>0.248649</v>
      </c>
      <c r="F194" t="n">
        <v>0.277421</v>
      </c>
      <c r="G194" t="n">
        <v>0.888686</v>
      </c>
      <c r="H194" t="n">
        <v>0.8363930000000001</v>
      </c>
      <c r="I194" t="n">
        <v>0.570621</v>
      </c>
      <c r="J194" t="n">
        <v>0.99536</v>
      </c>
      <c r="K194" t="n">
        <v>0</v>
      </c>
      <c r="L194" t="n">
        <v>0.1</v>
      </c>
      <c r="M194" t="n">
        <v>0.30899</v>
      </c>
    </row>
    <row r="195">
      <c r="A195" t="inlineStr">
        <is>
          <t>opt-sgdm-lr0.1</t>
        </is>
      </c>
      <c r="B195" t="n">
        <v>14</v>
      </c>
      <c r="C195" t="n">
        <v>0.237239</v>
      </c>
      <c r="D195" t="n">
        <v>0.903269</v>
      </c>
      <c r="E195" t="n">
        <v>0.24177</v>
      </c>
      <c r="F195" t="n">
        <v>0.255694</v>
      </c>
      <c r="G195" t="n">
        <v>0.896926</v>
      </c>
      <c r="H195" t="n">
        <v>0.83239</v>
      </c>
      <c r="I195" t="n">
        <v>0.562341</v>
      </c>
      <c r="J195" t="n">
        <v>1.140564</v>
      </c>
      <c r="K195" t="n">
        <v>0</v>
      </c>
      <c r="L195" t="n">
        <v>0.1</v>
      </c>
      <c r="M195" t="n">
        <v>0.304435</v>
      </c>
    </row>
    <row r="196">
      <c r="A196" t="inlineStr">
        <is>
          <t>opt-sgdm-lr0.1</t>
        </is>
      </c>
      <c r="B196" t="n">
        <v>15</v>
      </c>
      <c r="C196" t="n">
        <v>0.227963</v>
      </c>
      <c r="D196" t="n">
        <v>0.908868</v>
      </c>
      <c r="E196" t="n">
        <v>0.237119</v>
      </c>
      <c r="F196" t="n">
        <v>0.24596</v>
      </c>
      <c r="G196" t="n">
        <v>0.902627</v>
      </c>
      <c r="H196" t="n">
        <v>0.841862</v>
      </c>
      <c r="I196" t="n">
        <v>0.5661079999999999</v>
      </c>
      <c r="J196" t="n">
        <v>0.939047</v>
      </c>
      <c r="K196" t="n">
        <v>0</v>
      </c>
      <c r="L196" t="n">
        <v>0.1</v>
      </c>
      <c r="M196" t="n">
        <v>0.306254</v>
      </c>
    </row>
    <row r="197">
      <c r="A197" t="inlineStr">
        <is>
          <t>opt-sgdm-lr0.1</t>
        </is>
      </c>
      <c r="B197" t="n">
        <v>16</v>
      </c>
      <c r="C197" t="n">
        <v>0.225245</v>
      </c>
      <c r="D197" t="n">
        <v>0.9101399999999999</v>
      </c>
      <c r="E197" t="n">
        <v>0.231486</v>
      </c>
      <c r="F197" t="n">
        <v>0.245425</v>
      </c>
      <c r="G197" t="n">
        <v>0.902315</v>
      </c>
      <c r="H197" t="n">
        <v>0.854698</v>
      </c>
      <c r="I197" t="n">
        <v>0.558213</v>
      </c>
      <c r="J197" t="n">
        <v>0.908771</v>
      </c>
      <c r="K197" t="n">
        <v>0</v>
      </c>
      <c r="L197" t="n">
        <v>0.1</v>
      </c>
      <c r="M197" t="n">
        <v>0.314417</v>
      </c>
    </row>
    <row r="198">
      <c r="A198" t="inlineStr">
        <is>
          <t>opt-sgdm-lr0.1</t>
        </is>
      </c>
      <c r="B198" t="n">
        <v>17</v>
      </c>
      <c r="C198" t="n">
        <v>0.226117</v>
      </c>
      <c r="D198" t="n">
        <v>0.907879</v>
      </c>
      <c r="E198" t="n">
        <v>0.227965</v>
      </c>
      <c r="F198" t="n">
        <v>0.247908</v>
      </c>
      <c r="G198" t="n">
        <v>0.898819</v>
      </c>
      <c r="H198" t="n">
        <v>0.8433929999999999</v>
      </c>
      <c r="I198" t="n">
        <v>0.560616</v>
      </c>
      <c r="J198" t="n">
        <v>0.926155</v>
      </c>
      <c r="K198" t="n">
        <v>0</v>
      </c>
      <c r="L198" t="n">
        <v>0.1</v>
      </c>
      <c r="M198" t="n">
        <v>0.300352</v>
      </c>
    </row>
    <row r="199">
      <c r="A199" t="inlineStr">
        <is>
          <t>opt-sgdm-lr0.1</t>
        </is>
      </c>
      <c r="B199" t="n">
        <v>18</v>
      </c>
      <c r="C199" t="n">
        <v>0.220782</v>
      </c>
      <c r="D199" t="n">
        <v>0.912147</v>
      </c>
      <c r="E199" t="n">
        <v>0.225202</v>
      </c>
      <c r="F199" t="n">
        <v>0.243092</v>
      </c>
      <c r="G199" t="n">
        <v>0.904262</v>
      </c>
      <c r="H199" t="n">
        <v>0.854365</v>
      </c>
      <c r="I199" t="n">
        <v>0.566111</v>
      </c>
      <c r="J199" t="n">
        <v>1.036764</v>
      </c>
      <c r="K199" t="n">
        <v>0</v>
      </c>
      <c r="L199" t="n">
        <v>0.1</v>
      </c>
      <c r="M199" t="n">
        <v>0.298102</v>
      </c>
    </row>
    <row r="200">
      <c r="A200" t="inlineStr">
        <is>
          <t>opt-sgdm-lr0.1</t>
        </is>
      </c>
      <c r="B200" t="n">
        <v>19</v>
      </c>
      <c r="C200" t="n">
        <v>0.223434</v>
      </c>
      <c r="D200" t="n">
        <v>0.909802</v>
      </c>
      <c r="E200" t="n">
        <v>0.22221</v>
      </c>
      <c r="F200" t="n">
        <v>0.24583</v>
      </c>
      <c r="G200" t="n">
        <v>0.901497</v>
      </c>
      <c r="H200" t="n">
        <v>0.849956</v>
      </c>
      <c r="I200" t="n">
        <v>0.567039</v>
      </c>
      <c r="J200" t="n">
        <v>1.01423</v>
      </c>
      <c r="K200" t="n">
        <v>0</v>
      </c>
      <c r="L200" t="n">
        <v>0.1</v>
      </c>
      <c r="M200" t="n">
        <v>0.303182</v>
      </c>
    </row>
    <row r="201">
      <c r="A201" t="inlineStr">
        <is>
          <t>opt-sgdm-lr0.1</t>
        </is>
      </c>
      <c r="B201" t="n">
        <v>20</v>
      </c>
      <c r="C201" t="n">
        <v>0.209817</v>
      </c>
      <c r="D201" t="n">
        <v>0.9155489999999999</v>
      </c>
      <c r="E201" t="n">
        <v>0.217092</v>
      </c>
      <c r="F201" t="n">
        <v>0.233241</v>
      </c>
      <c r="G201" t="n">
        <v>0.908694</v>
      </c>
      <c r="H201" t="n">
        <v>0.850437</v>
      </c>
      <c r="I201" t="n">
        <v>0.553818</v>
      </c>
      <c r="J201" t="n">
        <v>0.940002</v>
      </c>
      <c r="K201" t="n">
        <v>0</v>
      </c>
      <c r="L201" t="n">
        <v>0.1</v>
      </c>
      <c r="M201" t="n">
        <v>0.305263</v>
      </c>
    </row>
    <row r="202">
      <c r="A202" t="inlineStr">
        <is>
          <t>opt-sgdm-lr0.3</t>
        </is>
      </c>
      <c r="B202" t="n">
        <v>1</v>
      </c>
      <c r="C202" t="n">
        <v>0.434944</v>
      </c>
      <c r="D202" t="n">
        <v>0.811194</v>
      </c>
      <c r="E202" t="n">
        <v>0.521267</v>
      </c>
      <c r="F202" t="n">
        <v>0.440036</v>
      </c>
      <c r="G202" t="n">
        <v>0.8091159999999999</v>
      </c>
      <c r="H202" t="n">
        <v>0.67459</v>
      </c>
      <c r="I202" t="n">
        <v>0.396706</v>
      </c>
      <c r="J202" t="n">
        <v>2.871076</v>
      </c>
      <c r="K202" t="n">
        <v>0</v>
      </c>
      <c r="L202" t="n">
        <v>0.3</v>
      </c>
      <c r="M202" t="n">
        <v>0.306141</v>
      </c>
    </row>
    <row r="203">
      <c r="A203" t="inlineStr">
        <is>
          <t>opt-sgdm-lr0.3</t>
        </is>
      </c>
      <c r="B203" t="n">
        <v>2</v>
      </c>
      <c r="C203" t="n">
        <v>0.38613</v>
      </c>
      <c r="D203" t="n">
        <v>0.841126</v>
      </c>
      <c r="E203" t="n">
        <v>0.406904</v>
      </c>
      <c r="F203" t="n">
        <v>0.394516</v>
      </c>
      <c r="G203" t="n">
        <v>0.837138</v>
      </c>
      <c r="H203" t="n">
        <v>0.725614</v>
      </c>
      <c r="I203" t="n">
        <v>0.37311</v>
      </c>
      <c r="J203" t="n">
        <v>0.746748</v>
      </c>
      <c r="K203" t="n">
        <v>0</v>
      </c>
      <c r="L203" t="n">
        <v>0.3</v>
      </c>
      <c r="M203" t="n">
        <v>0.31406</v>
      </c>
    </row>
    <row r="204">
      <c r="A204" t="inlineStr">
        <is>
          <t>opt-sgdm-lr0.3</t>
        </is>
      </c>
      <c r="B204" t="n">
        <v>3</v>
      </c>
      <c r="C204" t="n">
        <v>0.356035</v>
      </c>
      <c r="D204" t="n">
        <v>0.852741</v>
      </c>
      <c r="E204" t="n">
        <v>0.362352</v>
      </c>
      <c r="F204" t="n">
        <v>0.365087</v>
      </c>
      <c r="G204" t="n">
        <v>0.848175</v>
      </c>
      <c r="H204" t="n">
        <v>0.728088</v>
      </c>
      <c r="I204" t="n">
        <v>0.374092</v>
      </c>
      <c r="J204" t="n">
        <v>0.66614</v>
      </c>
      <c r="K204" t="n">
        <v>0</v>
      </c>
      <c r="L204" t="n">
        <v>0.3</v>
      </c>
      <c r="M204" t="n">
        <v>0.307702</v>
      </c>
    </row>
    <row r="205">
      <c r="A205" t="inlineStr">
        <is>
          <t>opt-sgdm-lr0.3</t>
        </is>
      </c>
      <c r="B205" t="n">
        <v>4</v>
      </c>
      <c r="C205" t="n">
        <v>0.336762</v>
      </c>
      <c r="D205" t="n">
        <v>0.859609</v>
      </c>
      <c r="E205" t="n">
        <v>0.335777</v>
      </c>
      <c r="F205" t="n">
        <v>0.34652</v>
      </c>
      <c r="G205" t="n">
        <v>0.855791</v>
      </c>
      <c r="H205" t="n">
        <v>0.771947</v>
      </c>
      <c r="I205" t="n">
        <v>0.369997</v>
      </c>
      <c r="J205" t="n">
        <v>0.6384649999999999</v>
      </c>
      <c r="K205" t="n">
        <v>0</v>
      </c>
      <c r="L205" t="n">
        <v>0.3</v>
      </c>
      <c r="M205" t="n">
        <v>0.309656</v>
      </c>
    </row>
    <row r="206">
      <c r="A206" t="inlineStr">
        <is>
          <t>opt-sgdm-lr0.3</t>
        </is>
      </c>
      <c r="B206" t="n">
        <v>5</v>
      </c>
      <c r="C206" t="n">
        <v>0.300193</v>
      </c>
      <c r="D206" t="n">
        <v>0.875984</v>
      </c>
      <c r="E206" t="n">
        <v>0.312851</v>
      </c>
      <c r="F206" t="n">
        <v>0.310436</v>
      </c>
      <c r="G206" t="n">
        <v>0.870184</v>
      </c>
      <c r="H206" t="n">
        <v>0.795309</v>
      </c>
      <c r="I206" t="n">
        <v>0.365017</v>
      </c>
      <c r="J206" t="n">
        <v>0.581753</v>
      </c>
      <c r="K206" t="n">
        <v>0</v>
      </c>
      <c r="L206" t="n">
        <v>0.3</v>
      </c>
      <c r="M206" t="n">
        <v>0.323331</v>
      </c>
    </row>
    <row r="207">
      <c r="A207" t="inlineStr">
        <is>
          <t>opt-sgdm-lr0.3</t>
        </is>
      </c>
      <c r="B207" t="n">
        <v>6</v>
      </c>
      <c r="C207" t="n">
        <v>0.300121</v>
      </c>
      <c r="D207" t="n">
        <v>0.877767</v>
      </c>
      <c r="E207" t="n">
        <v>0.299735</v>
      </c>
      <c r="F207" t="n">
        <v>0.314544</v>
      </c>
      <c r="G207" t="n">
        <v>0.872443</v>
      </c>
      <c r="H207" t="n">
        <v>0.788829</v>
      </c>
      <c r="I207" t="n">
        <v>0.367803</v>
      </c>
      <c r="J207" t="n">
        <v>0.723912</v>
      </c>
      <c r="K207" t="n">
        <v>0</v>
      </c>
      <c r="L207" t="n">
        <v>0.3</v>
      </c>
      <c r="M207" t="n">
        <v>0.300799</v>
      </c>
    </row>
    <row r="208">
      <c r="A208" t="inlineStr">
        <is>
          <t>opt-sgdm-lr0.3</t>
        </is>
      </c>
      <c r="B208" t="n">
        <v>7</v>
      </c>
      <c r="C208" t="n">
        <v>0.278052</v>
      </c>
      <c r="D208" t="n">
        <v>0.886058</v>
      </c>
      <c r="E208" t="n">
        <v>0.284493</v>
      </c>
      <c r="F208" t="n">
        <v>0.291571</v>
      </c>
      <c r="G208" t="n">
        <v>0.879553</v>
      </c>
      <c r="H208" t="n">
        <v>0.793786</v>
      </c>
      <c r="I208" t="n">
        <v>0.360762</v>
      </c>
      <c r="J208" t="n">
        <v>0.61838</v>
      </c>
      <c r="K208" t="n">
        <v>0</v>
      </c>
      <c r="L208" t="n">
        <v>0.3</v>
      </c>
      <c r="M208" t="n">
        <v>0.308302</v>
      </c>
    </row>
    <row r="209">
      <c r="A209" t="inlineStr">
        <is>
          <t>opt-sgdm-lr0.3</t>
        </is>
      </c>
      <c r="B209" t="n">
        <v>8</v>
      </c>
      <c r="C209" t="n">
        <v>0.287913</v>
      </c>
      <c r="D209" t="n">
        <v>0.882253</v>
      </c>
      <c r="E209" t="n">
        <v>0.275962</v>
      </c>
      <c r="F209" t="n">
        <v>0.302058</v>
      </c>
      <c r="G209" t="n">
        <v>0.8771</v>
      </c>
      <c r="H209" t="n">
        <v>0.812527</v>
      </c>
      <c r="I209" t="n">
        <v>0.357884</v>
      </c>
      <c r="J209" t="n">
        <v>0.726919</v>
      </c>
      <c r="K209" t="n">
        <v>0</v>
      </c>
      <c r="L209" t="n">
        <v>0.3</v>
      </c>
      <c r="M209" t="n">
        <v>0.319647</v>
      </c>
    </row>
    <row r="210">
      <c r="A210" t="inlineStr">
        <is>
          <t>opt-sgdm-lr0.3</t>
        </is>
      </c>
      <c r="B210" t="n">
        <v>9</v>
      </c>
      <c r="C210" t="n">
        <v>0.250175</v>
      </c>
      <c r="D210" t="n">
        <v>0.8977889999999999</v>
      </c>
      <c r="E210" t="n">
        <v>0.26762</v>
      </c>
      <c r="F210" t="n">
        <v>0.266955</v>
      </c>
      <c r="G210" t="n">
        <v>0.892472</v>
      </c>
      <c r="H210" t="n">
        <v>0.824146</v>
      </c>
      <c r="I210" t="n">
        <v>0.360093</v>
      </c>
      <c r="J210" t="n">
        <v>0.581806</v>
      </c>
      <c r="K210" t="n">
        <v>0</v>
      </c>
      <c r="L210" t="n">
        <v>0.3</v>
      </c>
      <c r="M210" t="n">
        <v>0.307931</v>
      </c>
    </row>
    <row r="211">
      <c r="A211" t="inlineStr">
        <is>
          <t>opt-sgdm-lr0.3</t>
        </is>
      </c>
      <c r="B211" t="n">
        <v>10</v>
      </c>
      <c r="C211" t="n">
        <v>0.25559</v>
      </c>
      <c r="D211" t="n">
        <v>0.896331</v>
      </c>
      <c r="E211" t="n">
        <v>0.260253</v>
      </c>
      <c r="F211" t="n">
        <v>0.272327</v>
      </c>
      <c r="G211" t="n">
        <v>0.891751</v>
      </c>
      <c r="H211" t="n">
        <v>0.825927</v>
      </c>
      <c r="I211" t="n">
        <v>0.354629</v>
      </c>
      <c r="J211" t="n">
        <v>0.635378</v>
      </c>
      <c r="K211" t="n">
        <v>0</v>
      </c>
      <c r="L211" t="n">
        <v>0.3</v>
      </c>
      <c r="M211" t="n">
        <v>0.300425</v>
      </c>
    </row>
    <row r="212">
      <c r="A212" t="inlineStr">
        <is>
          <t>opt-sgdm-lr0.3</t>
        </is>
      </c>
      <c r="B212" t="n">
        <v>11</v>
      </c>
      <c r="C212" t="n">
        <v>0.237681</v>
      </c>
      <c r="D212" t="n">
        <v>0.903095</v>
      </c>
      <c r="E212" t="n">
        <v>0.249534</v>
      </c>
      <c r="F212" t="n">
        <v>0.256475</v>
      </c>
      <c r="G212" t="n">
        <v>0.896248</v>
      </c>
      <c r="H212" t="n">
        <v>0.8283239999999999</v>
      </c>
      <c r="I212" t="n">
        <v>0.349262</v>
      </c>
      <c r="J212" t="n">
        <v>0.711025</v>
      </c>
      <c r="K212" t="n">
        <v>0</v>
      </c>
      <c r="L212" t="n">
        <v>0.3</v>
      </c>
      <c r="M212" t="n">
        <v>0.314501</v>
      </c>
    </row>
    <row r="213">
      <c r="A213" t="inlineStr">
        <is>
          <t>opt-sgdm-lr0.3</t>
        </is>
      </c>
      <c r="B213" t="n">
        <v>12</v>
      </c>
      <c r="C213" t="n">
        <v>0.241936</v>
      </c>
      <c r="D213" t="n">
        <v>0.902648</v>
      </c>
      <c r="E213" t="n">
        <v>0.243909</v>
      </c>
      <c r="F213" t="n">
        <v>0.262306</v>
      </c>
      <c r="G213" t="n">
        <v>0.8947850000000001</v>
      </c>
      <c r="H213" t="n">
        <v>0.828196</v>
      </c>
      <c r="I213" t="n">
        <v>0.34785</v>
      </c>
      <c r="J213" t="n">
        <v>0.8572959999999999</v>
      </c>
      <c r="K213" t="n">
        <v>0</v>
      </c>
      <c r="L213" t="n">
        <v>0.3</v>
      </c>
      <c r="M213" t="n">
        <v>0.303307</v>
      </c>
    </row>
    <row r="214">
      <c r="A214" t="inlineStr">
        <is>
          <t>opt-sgdm-lr0.3</t>
        </is>
      </c>
      <c r="B214" t="n">
        <v>13</v>
      </c>
      <c r="C214" t="n">
        <v>0.235168</v>
      </c>
      <c r="D214" t="n">
        <v>0.904458</v>
      </c>
      <c r="E214" t="n">
        <v>0.240604</v>
      </c>
      <c r="F214" t="n">
        <v>0.255019</v>
      </c>
      <c r="G214" t="n">
        <v>0.89685</v>
      </c>
      <c r="H214" t="n">
        <v>0.83728</v>
      </c>
      <c r="I214" t="n">
        <v>0.350745</v>
      </c>
      <c r="J214" t="n">
        <v>0.590817</v>
      </c>
      <c r="K214" t="n">
        <v>0</v>
      </c>
      <c r="L214" t="n">
        <v>0.3</v>
      </c>
      <c r="M214" t="n">
        <v>0.30279</v>
      </c>
    </row>
    <row r="215">
      <c r="A215" t="inlineStr">
        <is>
          <t>opt-sgdm-lr0.3</t>
        </is>
      </c>
      <c r="B215" t="n">
        <v>14</v>
      </c>
      <c r="C215" t="n">
        <v>0.222363</v>
      </c>
      <c r="D215" t="n">
        <v>0.910296</v>
      </c>
      <c r="E215" t="n">
        <v>0.233355</v>
      </c>
      <c r="F215" t="n">
        <v>0.243171</v>
      </c>
      <c r="G215" t="n">
        <v>0.9025300000000001</v>
      </c>
      <c r="H215" t="n">
        <v>0.84757</v>
      </c>
      <c r="I215" t="n">
        <v>0.34693</v>
      </c>
      <c r="J215" t="n">
        <v>0.519267</v>
      </c>
      <c r="K215" t="n">
        <v>0</v>
      </c>
      <c r="L215" t="n">
        <v>0.3</v>
      </c>
      <c r="M215" t="n">
        <v>0.312219</v>
      </c>
    </row>
    <row r="216">
      <c r="A216" t="inlineStr">
        <is>
          <t>opt-sgdm-lr0.3</t>
        </is>
      </c>
      <c r="B216" t="n">
        <v>15</v>
      </c>
      <c r="C216" t="n">
        <v>0.221916</v>
      </c>
      <c r="D216" t="n">
        <v>0.907911</v>
      </c>
      <c r="E216" t="n">
        <v>0.231412</v>
      </c>
      <c r="F216" t="n">
        <v>0.243985</v>
      </c>
      <c r="G216" t="n">
        <v>0.901454</v>
      </c>
      <c r="H216" t="n">
        <v>0.84349</v>
      </c>
      <c r="I216" t="n">
        <v>0.347355</v>
      </c>
      <c r="J216" t="n">
        <v>0.497717</v>
      </c>
      <c r="K216" t="n">
        <v>0</v>
      </c>
      <c r="L216" t="n">
        <v>0.3</v>
      </c>
      <c r="M216" t="n">
        <v>0.306024</v>
      </c>
    </row>
    <row r="217">
      <c r="A217" t="inlineStr">
        <is>
          <t>opt-sgdm-lr0.3</t>
        </is>
      </c>
      <c r="B217" t="n">
        <v>16</v>
      </c>
      <c r="C217" t="n">
        <v>0.221694</v>
      </c>
      <c r="D217" t="n">
        <v>0.910138</v>
      </c>
      <c r="E217" t="n">
        <v>0.226859</v>
      </c>
      <c r="F217" t="n">
        <v>0.244506</v>
      </c>
      <c r="G217" t="n">
        <v>0.903799</v>
      </c>
      <c r="H217" t="n">
        <v>0.838645</v>
      </c>
      <c r="I217" t="n">
        <v>0.345185</v>
      </c>
      <c r="J217" t="n">
        <v>0.480921</v>
      </c>
      <c r="K217" t="n">
        <v>0</v>
      </c>
      <c r="L217" t="n">
        <v>0.3</v>
      </c>
      <c r="M217" t="n">
        <v>0.316296</v>
      </c>
    </row>
    <row r="218">
      <c r="A218" t="inlineStr">
        <is>
          <t>opt-sgdm-lr0.3</t>
        </is>
      </c>
      <c r="B218" t="n">
        <v>17</v>
      </c>
      <c r="C218" t="n">
        <v>0.228441</v>
      </c>
      <c r="D218" t="n">
        <v>0.907223</v>
      </c>
      <c r="E218" t="n">
        <v>0.223031</v>
      </c>
      <c r="F218" t="n">
        <v>0.24916</v>
      </c>
      <c r="G218" t="n">
        <v>0.900142</v>
      </c>
      <c r="H218" t="n">
        <v>0.836494</v>
      </c>
      <c r="I218" t="n">
        <v>0.345271</v>
      </c>
      <c r="J218" t="n">
        <v>0.562436</v>
      </c>
      <c r="K218" t="n">
        <v>0</v>
      </c>
      <c r="L218" t="n">
        <v>0.3</v>
      </c>
      <c r="M218" t="n">
        <v>0.302797</v>
      </c>
    </row>
    <row r="219">
      <c r="A219" t="inlineStr">
        <is>
          <t>opt-sgdm-lr0.3</t>
        </is>
      </c>
      <c r="B219" t="n">
        <v>18</v>
      </c>
      <c r="C219" t="n">
        <v>0.212455</v>
      </c>
      <c r="D219" t="n">
        <v>0.915285</v>
      </c>
      <c r="E219" t="n">
        <v>0.21948</v>
      </c>
      <c r="F219" t="n">
        <v>0.237136</v>
      </c>
      <c r="G219" t="n">
        <v>0.907231</v>
      </c>
      <c r="H219" t="n">
        <v>0.853526</v>
      </c>
      <c r="I219" t="n">
        <v>0.34364</v>
      </c>
      <c r="J219" t="n">
        <v>0.601287</v>
      </c>
      <c r="K219" t="n">
        <v>0</v>
      </c>
      <c r="L219" t="n">
        <v>0.3</v>
      </c>
      <c r="M219" t="n">
        <v>0.306622</v>
      </c>
    </row>
    <row r="220">
      <c r="A220" t="inlineStr">
        <is>
          <t>opt-sgdm-lr0.3</t>
        </is>
      </c>
      <c r="B220" t="n">
        <v>19</v>
      </c>
      <c r="C220" t="n">
        <v>0.21086</v>
      </c>
      <c r="D220" t="n">
        <v>0.914045</v>
      </c>
      <c r="E220" t="n">
        <v>0.218149</v>
      </c>
      <c r="F220" t="n">
        <v>0.235232</v>
      </c>
      <c r="G220" t="n">
        <v>0.905456</v>
      </c>
      <c r="H220" t="n">
        <v>0.850512</v>
      </c>
      <c r="I220" t="n">
        <v>0.345593</v>
      </c>
      <c r="J220" t="n">
        <v>0.629509</v>
      </c>
      <c r="K220" t="n">
        <v>0</v>
      </c>
      <c r="L220" t="n">
        <v>0.3</v>
      </c>
      <c r="M220" t="n">
        <v>0.313364</v>
      </c>
    </row>
    <row r="221">
      <c r="A221" t="inlineStr">
        <is>
          <t>opt-sgdm-lr0.3</t>
        </is>
      </c>
      <c r="B221" t="n">
        <v>20</v>
      </c>
      <c r="C221" t="n">
        <v>0.201119</v>
      </c>
      <c r="D221" t="n">
        <v>0.918273</v>
      </c>
      <c r="E221" t="n">
        <v>0.21329</v>
      </c>
      <c r="F221" t="n">
        <v>0.226118</v>
      </c>
      <c r="G221" t="n">
        <v>0.909759</v>
      </c>
      <c r="H221" t="n">
        <v>0.857084</v>
      </c>
      <c r="I221" t="n">
        <v>0.338556</v>
      </c>
      <c r="J221" t="n">
        <v>0.563014</v>
      </c>
      <c r="K221" t="n">
        <v>0</v>
      </c>
      <c r="L221" t="n">
        <v>0.3</v>
      </c>
      <c r="M221" t="n">
        <v>0.303416</v>
      </c>
    </row>
    <row r="222">
      <c r="A222" t="inlineStr">
        <is>
          <t>opt-sgdm-lr1</t>
        </is>
      </c>
      <c r="B222" t="n">
        <v>1</v>
      </c>
      <c r="C222" t="n">
        <v>0.5099359999999999</v>
      </c>
      <c r="D222" t="n">
        <v>0.783976</v>
      </c>
      <c r="E222" t="n">
        <v>0.6789500000000001</v>
      </c>
      <c r="F222" t="n">
        <v>0.513608</v>
      </c>
      <c r="G222" t="n">
        <v>0.783137</v>
      </c>
      <c r="H222" t="n">
        <v>0.555899</v>
      </c>
      <c r="I222" t="n">
        <v>0.348538</v>
      </c>
      <c r="J222" t="n">
        <v>11.733891</v>
      </c>
      <c r="K222" t="n">
        <v>0</v>
      </c>
      <c r="L222" t="n">
        <v>1</v>
      </c>
      <c r="M222" t="n">
        <v>0.30023</v>
      </c>
    </row>
    <row r="223">
      <c r="A223" t="inlineStr">
        <is>
          <t>opt-sgdm-lr1</t>
        </is>
      </c>
      <c r="B223" t="n">
        <v>2</v>
      </c>
      <c r="C223" t="n">
        <v>0.503588</v>
      </c>
      <c r="D223" t="n">
        <v>0.792872</v>
      </c>
      <c r="E223" t="n">
        <v>0.511456</v>
      </c>
      <c r="F223" t="n">
        <v>0.509958</v>
      </c>
      <c r="G223" t="n">
        <v>0.790872</v>
      </c>
      <c r="H223" t="n">
        <v>0.569064</v>
      </c>
      <c r="I223" t="n">
        <v>0.258993</v>
      </c>
      <c r="J223" t="n">
        <v>0.451547</v>
      </c>
      <c r="K223" t="n">
        <v>0</v>
      </c>
      <c r="L223" t="n">
        <v>1</v>
      </c>
      <c r="M223" t="n">
        <v>0.307528</v>
      </c>
    </row>
    <row r="224">
      <c r="A224" t="inlineStr">
        <is>
          <t>opt-sgdm-lr1</t>
        </is>
      </c>
      <c r="B224" t="n">
        <v>3</v>
      </c>
      <c r="C224" t="n">
        <v>0.478136</v>
      </c>
      <c r="D224" t="n">
        <v>0.801744</v>
      </c>
      <c r="E224" t="n">
        <v>0.476568</v>
      </c>
      <c r="F224" t="n">
        <v>0.484277</v>
      </c>
      <c r="G224" t="n">
        <v>0.798369</v>
      </c>
      <c r="H224" t="n">
        <v>0.549199</v>
      </c>
      <c r="I224" t="n">
        <v>0.259295</v>
      </c>
      <c r="J224" t="n">
        <v>0.526744</v>
      </c>
      <c r="K224" t="n">
        <v>0</v>
      </c>
      <c r="L224" t="n">
        <v>1</v>
      </c>
      <c r="M224" t="n">
        <v>0.304005</v>
      </c>
    </row>
    <row r="225">
      <c r="A225" t="inlineStr">
        <is>
          <t>opt-sgdm-lr1</t>
        </is>
      </c>
      <c r="B225" t="n">
        <v>4</v>
      </c>
      <c r="C225" t="n">
        <v>0.467181</v>
      </c>
      <c r="D225" t="n">
        <v>0.807442</v>
      </c>
      <c r="E225" t="n">
        <v>0.458545</v>
      </c>
      <c r="F225" t="n">
        <v>0.474614</v>
      </c>
      <c r="G225" t="n">
        <v>0.804393</v>
      </c>
      <c r="H225" t="n">
        <v>0.631648</v>
      </c>
      <c r="I225" t="n">
        <v>0.257409</v>
      </c>
      <c r="J225" t="n">
        <v>0.483483</v>
      </c>
      <c r="K225" t="n">
        <v>0</v>
      </c>
      <c r="L225" t="n">
        <v>1</v>
      </c>
      <c r="M225" t="n">
        <v>0.301798</v>
      </c>
    </row>
    <row r="226">
      <c r="A226" t="inlineStr">
        <is>
          <t>opt-sgdm-lr1</t>
        </is>
      </c>
      <c r="B226" t="n">
        <v>5</v>
      </c>
      <c r="C226" t="n">
        <v>0.442343</v>
      </c>
      <c r="D226" t="n">
        <v>0.822873</v>
      </c>
      <c r="E226" t="n">
        <v>0.437824</v>
      </c>
      <c r="F226" t="n">
        <v>0.449534</v>
      </c>
      <c r="G226" t="n">
        <v>0.8198299999999999</v>
      </c>
      <c r="H226" t="n">
        <v>0.671974</v>
      </c>
      <c r="I226" t="n">
        <v>0.251252</v>
      </c>
      <c r="J226" t="n">
        <v>0.603769</v>
      </c>
      <c r="K226" t="n">
        <v>0</v>
      </c>
      <c r="L226" t="n">
        <v>1</v>
      </c>
      <c r="M226" t="n">
        <v>0.309934</v>
      </c>
    </row>
    <row r="227">
      <c r="A227" t="inlineStr">
        <is>
          <t>opt-sgdm-lr1</t>
        </is>
      </c>
      <c r="B227" t="n">
        <v>6</v>
      </c>
      <c r="C227" t="n">
        <v>0.439795</v>
      </c>
      <c r="D227" t="n">
        <v>0.820372</v>
      </c>
      <c r="E227" t="n">
        <v>0.426302</v>
      </c>
      <c r="F227" t="n">
        <v>0.448995</v>
      </c>
      <c r="G227" t="n">
        <v>0.817571</v>
      </c>
      <c r="H227" t="n">
        <v>0.689808</v>
      </c>
      <c r="I227" t="n">
        <v>0.254053</v>
      </c>
      <c r="J227" t="n">
        <v>0.691245</v>
      </c>
      <c r="K227" t="n">
        <v>0</v>
      </c>
      <c r="L227" t="n">
        <v>1</v>
      </c>
      <c r="M227" t="n">
        <v>0.320985</v>
      </c>
    </row>
    <row r="228">
      <c r="A228" t="inlineStr">
        <is>
          <t>opt-sgdm-lr1</t>
        </is>
      </c>
      <c r="B228" t="n">
        <v>7</v>
      </c>
      <c r="C228" t="n">
        <v>0.395183</v>
      </c>
      <c r="D228" t="n">
        <v>0.838291</v>
      </c>
      <c r="E228" t="n">
        <v>0.417707</v>
      </c>
      <c r="F228" t="n">
        <v>0.404488</v>
      </c>
      <c r="G228" t="n">
        <v>0.83518</v>
      </c>
      <c r="H228" t="n">
        <v>0.7155</v>
      </c>
      <c r="I228" t="n">
        <v>0.250767</v>
      </c>
      <c r="J228" t="n">
        <v>0.443796</v>
      </c>
      <c r="K228" t="n">
        <v>0</v>
      </c>
      <c r="L228" t="n">
        <v>1</v>
      </c>
      <c r="M228" t="n">
        <v>0.307309</v>
      </c>
    </row>
    <row r="229">
      <c r="A229" t="inlineStr">
        <is>
          <t>opt-sgdm-lr1</t>
        </is>
      </c>
      <c r="B229" t="n">
        <v>8</v>
      </c>
      <c r="C229" t="n">
        <v>0.389529</v>
      </c>
      <c r="D229" t="n">
        <v>0.848639</v>
      </c>
      <c r="E229" t="n">
        <v>0.403592</v>
      </c>
      <c r="F229" t="n">
        <v>0.399057</v>
      </c>
      <c r="G229" t="n">
        <v>0.844797</v>
      </c>
      <c r="H229" t="n">
        <v>0.73187</v>
      </c>
      <c r="I229" t="n">
        <v>0.248679</v>
      </c>
      <c r="J229" t="n">
        <v>0.5379699999999999</v>
      </c>
      <c r="K229" t="n">
        <v>0</v>
      </c>
      <c r="L229" t="n">
        <v>1</v>
      </c>
      <c r="M229" t="n">
        <v>0.302685</v>
      </c>
    </row>
    <row r="230">
      <c r="A230" t="inlineStr">
        <is>
          <t>opt-sgdm-lr1</t>
        </is>
      </c>
      <c r="B230" t="n">
        <v>9</v>
      </c>
      <c r="C230" t="n">
        <v>0.41282</v>
      </c>
      <c r="D230" t="n">
        <v>0.836734</v>
      </c>
      <c r="E230" t="n">
        <v>0.40412</v>
      </c>
      <c r="F230" t="n">
        <v>0.421889</v>
      </c>
      <c r="G230" t="n">
        <v>0.834018</v>
      </c>
      <c r="H230" t="n">
        <v>0.705935</v>
      </c>
      <c r="I230" t="n">
        <v>0.249723</v>
      </c>
      <c r="J230" t="n">
        <v>0.420696</v>
      </c>
      <c r="K230" t="n">
        <v>0</v>
      </c>
      <c r="L230" t="n">
        <v>1</v>
      </c>
      <c r="M230" t="n">
        <v>0.304558</v>
      </c>
    </row>
    <row r="231">
      <c r="A231" t="inlineStr">
        <is>
          <t>opt-sgdm-lr1</t>
        </is>
      </c>
      <c r="B231" t="n">
        <v>10</v>
      </c>
      <c r="C231" t="n">
        <v>0.368032</v>
      </c>
      <c r="D231" t="n">
        <v>0.854954</v>
      </c>
      <c r="E231" t="n">
        <v>0.390401</v>
      </c>
      <c r="F231" t="n">
        <v>0.380445</v>
      </c>
      <c r="G231" t="n">
        <v>0.850832</v>
      </c>
      <c r="H231" t="n">
        <v>0.7090610000000001</v>
      </c>
      <c r="I231" t="n">
        <v>0.242331</v>
      </c>
      <c r="J231" t="n">
        <v>0.429812</v>
      </c>
      <c r="K231" t="n">
        <v>0</v>
      </c>
      <c r="L231" t="n">
        <v>1</v>
      </c>
      <c r="M231" t="n">
        <v>0.314758</v>
      </c>
    </row>
    <row r="232">
      <c r="A232" t="inlineStr">
        <is>
          <t>opt-sgdm-lr1</t>
        </is>
      </c>
      <c r="B232" t="n">
        <v>11</v>
      </c>
      <c r="C232" t="n">
        <v>0.377017</v>
      </c>
      <c r="D232" t="n">
        <v>0.84844</v>
      </c>
      <c r="E232" t="n">
        <v>0.385674</v>
      </c>
      <c r="F232" t="n">
        <v>0.386534</v>
      </c>
      <c r="G232" t="n">
        <v>0.844743</v>
      </c>
      <c r="H232" t="n">
        <v>0.728796</v>
      </c>
      <c r="I232" t="n">
        <v>0.244741</v>
      </c>
      <c r="J232" t="n">
        <v>0.538673</v>
      </c>
      <c r="K232" t="n">
        <v>0</v>
      </c>
      <c r="L232" t="n">
        <v>1</v>
      </c>
      <c r="M232" t="n">
        <v>0.302695</v>
      </c>
    </row>
    <row r="233">
      <c r="A233" t="inlineStr">
        <is>
          <t>opt-sgdm-lr1</t>
        </is>
      </c>
      <c r="B233" t="n">
        <v>12</v>
      </c>
      <c r="C233" t="n">
        <v>0.380373</v>
      </c>
      <c r="D233" t="n">
        <v>0.856073</v>
      </c>
      <c r="E233" t="n">
        <v>0.377711</v>
      </c>
      <c r="F233" t="n">
        <v>0.390911</v>
      </c>
      <c r="G233" t="n">
        <v>0.851402</v>
      </c>
      <c r="H233" t="n">
        <v>0.737625</v>
      </c>
      <c r="I233" t="n">
        <v>0.239804</v>
      </c>
      <c r="J233" t="n">
        <v>0.477505</v>
      </c>
      <c r="K233" t="n">
        <v>0</v>
      </c>
      <c r="L233" t="n">
        <v>1</v>
      </c>
      <c r="M233" t="n">
        <v>0.30503</v>
      </c>
    </row>
    <row r="234">
      <c r="A234" t="inlineStr">
        <is>
          <t>opt-sgdm-lr1</t>
        </is>
      </c>
      <c r="B234" t="n">
        <v>13</v>
      </c>
      <c r="C234" t="n">
        <v>0.414453</v>
      </c>
      <c r="D234" t="n">
        <v>0.832525</v>
      </c>
      <c r="E234" t="n">
        <v>0.375488</v>
      </c>
      <c r="F234" t="n">
        <v>0.424574</v>
      </c>
      <c r="G234" t="n">
        <v>0.82921</v>
      </c>
      <c r="H234" t="n">
        <v>0.689286</v>
      </c>
      <c r="I234" t="n">
        <v>0.244501</v>
      </c>
      <c r="J234" t="n">
        <v>0.516617</v>
      </c>
      <c r="K234" t="n">
        <v>0</v>
      </c>
      <c r="L234" t="n">
        <v>1</v>
      </c>
      <c r="M234" t="n">
        <v>0.308252</v>
      </c>
    </row>
    <row r="235">
      <c r="A235" t="inlineStr">
        <is>
          <t>opt-sgdm-lr1</t>
        </is>
      </c>
      <c r="B235" t="n">
        <v>14</v>
      </c>
      <c r="C235" t="n">
        <v>0.393229</v>
      </c>
      <c r="D235" t="n">
        <v>0.848602</v>
      </c>
      <c r="E235" t="n">
        <v>0.379705</v>
      </c>
      <c r="F235" t="n">
        <v>0.402939</v>
      </c>
      <c r="G235" t="n">
        <v>0.843958</v>
      </c>
      <c r="H235" t="n">
        <v>0.734215</v>
      </c>
      <c r="I235" t="n">
        <v>0.250452</v>
      </c>
      <c r="J235" t="n">
        <v>0.686512</v>
      </c>
      <c r="K235" t="n">
        <v>0</v>
      </c>
      <c r="L235" t="n">
        <v>1</v>
      </c>
      <c r="M235" t="n">
        <v>0.303617</v>
      </c>
    </row>
    <row r="236">
      <c r="A236" t="inlineStr">
        <is>
          <t>opt-sgdm-lr1</t>
        </is>
      </c>
      <c r="B236" t="n">
        <v>15</v>
      </c>
      <c r="C236" t="n">
        <v>0.375397</v>
      </c>
      <c r="D236" t="n">
        <v>0.850135</v>
      </c>
      <c r="E236" t="n">
        <v>0.37309</v>
      </c>
      <c r="F236" t="n">
        <v>0.385456</v>
      </c>
      <c r="G236" t="n">
        <v>0.846991</v>
      </c>
      <c r="H236" t="n">
        <v>0.741155</v>
      </c>
      <c r="I236" t="n">
        <v>0.245153</v>
      </c>
      <c r="J236" t="n">
        <v>0.500366</v>
      </c>
      <c r="K236" t="n">
        <v>0</v>
      </c>
      <c r="L236" t="n">
        <v>1</v>
      </c>
      <c r="M236" t="n">
        <v>0.302609</v>
      </c>
    </row>
    <row r="237">
      <c r="A237" t="inlineStr">
        <is>
          <t>opt-sgdm-lr1</t>
        </is>
      </c>
      <c r="B237" t="n">
        <v>16</v>
      </c>
      <c r="C237" t="n">
        <v>0.433506</v>
      </c>
      <c r="D237" t="n">
        <v>0.843253</v>
      </c>
      <c r="E237" t="n">
        <v>0.371671</v>
      </c>
      <c r="F237" t="n">
        <v>0.441428</v>
      </c>
      <c r="G237" t="n">
        <v>0.839935</v>
      </c>
      <c r="H237" t="n">
        <v>0.712645</v>
      </c>
      <c r="I237" t="n">
        <v>0.238974</v>
      </c>
      <c r="J237" t="n">
        <v>0.88314</v>
      </c>
      <c r="K237" t="n">
        <v>0</v>
      </c>
      <c r="L237" t="n">
        <v>1</v>
      </c>
      <c r="M237" t="n">
        <v>0.304584</v>
      </c>
    </row>
    <row r="238">
      <c r="A238" t="inlineStr">
        <is>
          <t>opt-sgdm-lr1</t>
        </is>
      </c>
      <c r="B238" t="n">
        <v>17</v>
      </c>
      <c r="C238" t="n">
        <v>0.354849</v>
      </c>
      <c r="D238" t="n">
        <v>0.859437</v>
      </c>
      <c r="E238" t="n">
        <v>0.367537</v>
      </c>
      <c r="F238" t="n">
        <v>0.369507</v>
      </c>
      <c r="G238" t="n">
        <v>0.854962</v>
      </c>
      <c r="H238" t="n">
        <v>0.757459</v>
      </c>
      <c r="I238" t="n">
        <v>0.239134</v>
      </c>
      <c r="J238" t="n">
        <v>0.41625</v>
      </c>
      <c r="K238" t="n">
        <v>0</v>
      </c>
      <c r="L238" t="n">
        <v>1</v>
      </c>
      <c r="M238" t="n">
        <v>0.309485</v>
      </c>
    </row>
    <row r="239">
      <c r="A239" t="inlineStr">
        <is>
          <t>opt-sgdm-lr1</t>
        </is>
      </c>
      <c r="B239" t="n">
        <v>18</v>
      </c>
      <c r="C239" t="n">
        <v>0.35835</v>
      </c>
      <c r="D239" t="n">
        <v>0.857872</v>
      </c>
      <c r="E239" t="n">
        <v>0.362151</v>
      </c>
      <c r="F239" t="n">
        <v>0.375018</v>
      </c>
      <c r="G239" t="n">
        <v>0.85166</v>
      </c>
      <c r="H239" t="n">
        <v>0.760351</v>
      </c>
      <c r="I239" t="n">
        <v>0.241922</v>
      </c>
      <c r="J239" t="n">
        <v>0.706763</v>
      </c>
      <c r="K239" t="n">
        <v>0</v>
      </c>
      <c r="L239" t="n">
        <v>1</v>
      </c>
      <c r="M239" t="n">
        <v>0.305435</v>
      </c>
    </row>
    <row r="240">
      <c r="A240" t="inlineStr">
        <is>
          <t>opt-sgdm-lr1</t>
        </is>
      </c>
      <c r="B240" t="n">
        <v>19</v>
      </c>
      <c r="C240" t="n">
        <v>0.388241</v>
      </c>
      <c r="D240" t="n">
        <v>0.84552</v>
      </c>
      <c r="E240" t="n">
        <v>0.364417</v>
      </c>
      <c r="F240" t="n">
        <v>0.403109</v>
      </c>
      <c r="G240" t="n">
        <v>0.841473</v>
      </c>
      <c r="H240" t="n">
        <v>0.736144</v>
      </c>
      <c r="I240" t="n">
        <v>0.241948</v>
      </c>
      <c r="J240" t="n">
        <v>0.51003</v>
      </c>
      <c r="K240" t="n">
        <v>0</v>
      </c>
      <c r="L240" t="n">
        <v>1</v>
      </c>
      <c r="M240" t="n">
        <v>0.310766</v>
      </c>
    </row>
    <row r="241">
      <c r="A241" t="inlineStr">
        <is>
          <t>opt-sgdm-lr1</t>
        </is>
      </c>
      <c r="B241" t="n">
        <v>20</v>
      </c>
      <c r="C241" t="n">
        <v>0.340742</v>
      </c>
      <c r="D241" t="n">
        <v>0.865517</v>
      </c>
      <c r="E241" t="n">
        <v>0.36154</v>
      </c>
      <c r="F241" t="n">
        <v>0.354128</v>
      </c>
      <c r="G241" t="n">
        <v>0.861169</v>
      </c>
      <c r="H241" t="n">
        <v>0.773116</v>
      </c>
      <c r="I241" t="n">
        <v>0.240767</v>
      </c>
      <c r="J241" t="n">
        <v>0.534649</v>
      </c>
      <c r="K241" t="n">
        <v>0</v>
      </c>
      <c r="L241" t="n">
        <v>1</v>
      </c>
      <c r="M241" t="n">
        <v>0.305312</v>
      </c>
    </row>
    <row r="242">
      <c r="A242" t="inlineStr">
        <is>
          <t>opt-sgd-lr0.1</t>
        </is>
      </c>
      <c r="B242" t="n">
        <v>1</v>
      </c>
      <c r="C242" t="n">
        <v>0.593081</v>
      </c>
      <c r="D242" t="n">
        <v>0.743333</v>
      </c>
      <c r="E242" t="n">
        <v>0.660783</v>
      </c>
      <c r="F242" t="n">
        <v>0.5960490000000001</v>
      </c>
      <c r="G242" t="n">
        <v>0.741658</v>
      </c>
      <c r="H242" t="n">
        <v>0.513006</v>
      </c>
      <c r="I242" t="n">
        <v>0.579004</v>
      </c>
      <c r="J242" t="n">
        <v>2.871076</v>
      </c>
      <c r="K242" t="n">
        <v>0</v>
      </c>
      <c r="L242" t="n">
        <v>0.1</v>
      </c>
      <c r="M242" t="n">
        <v>0.284004</v>
      </c>
    </row>
    <row r="243">
      <c r="A243" t="inlineStr">
        <is>
          <t>opt-sgd-lr0.1</t>
        </is>
      </c>
      <c r="B243" t="n">
        <v>2</v>
      </c>
      <c r="C243" t="n">
        <v>0.539072</v>
      </c>
      <c r="D243" t="n">
        <v>0.769628</v>
      </c>
      <c r="E243" t="n">
        <v>0.560543</v>
      </c>
      <c r="F243" t="n">
        <v>0.542523</v>
      </c>
      <c r="G243" t="n">
        <v>0.76811</v>
      </c>
      <c r="H243" t="n">
        <v>0.611604</v>
      </c>
      <c r="I243" t="n">
        <v>0.678652</v>
      </c>
      <c r="J243" t="n">
        <v>1.800298</v>
      </c>
      <c r="K243" t="n">
        <v>0</v>
      </c>
      <c r="L243" t="n">
        <v>0.1</v>
      </c>
      <c r="M243" t="n">
        <v>0.289993</v>
      </c>
    </row>
    <row r="244">
      <c r="A244" t="inlineStr">
        <is>
          <t>opt-sgd-lr0.1</t>
        </is>
      </c>
      <c r="B244" t="n">
        <v>3</v>
      </c>
      <c r="C244" t="n">
        <v>0.511325</v>
      </c>
      <c r="D244" t="n">
        <v>0.782429</v>
      </c>
      <c r="E244" t="n">
        <v>0.524929</v>
      </c>
      <c r="F244" t="n">
        <v>0.515865</v>
      </c>
      <c r="G244" t="n">
        <v>0.779792</v>
      </c>
      <c r="H244" t="n">
        <v>0.5886400000000001</v>
      </c>
      <c r="I244" t="n">
        <v>0.748985</v>
      </c>
      <c r="J244" t="n">
        <v>2.349292</v>
      </c>
      <c r="K244" t="n">
        <v>0</v>
      </c>
      <c r="L244" t="n">
        <v>0.1</v>
      </c>
      <c r="M244" t="n">
        <v>0.28883</v>
      </c>
    </row>
    <row r="245">
      <c r="A245" t="inlineStr">
        <is>
          <t>opt-sgd-lr0.1</t>
        </is>
      </c>
      <c r="B245" t="n">
        <v>4</v>
      </c>
      <c r="C245" t="n">
        <v>0.545015</v>
      </c>
      <c r="D245" t="n">
        <v>0.759355</v>
      </c>
      <c r="E245" t="n">
        <v>0.500215</v>
      </c>
      <c r="F245" t="n">
        <v>0.550621</v>
      </c>
      <c r="G245" t="n">
        <v>0.756621</v>
      </c>
      <c r="H245" t="n">
        <v>0.617734</v>
      </c>
      <c r="I245" t="n">
        <v>0.810371</v>
      </c>
      <c r="J245" t="n">
        <v>2.513899</v>
      </c>
      <c r="K245" t="n">
        <v>0</v>
      </c>
      <c r="L245" t="n">
        <v>0.1</v>
      </c>
      <c r="M245" t="n">
        <v>0.298512</v>
      </c>
    </row>
    <row r="246">
      <c r="A246" t="inlineStr">
        <is>
          <t>opt-sgd-lr0.1</t>
        </is>
      </c>
      <c r="B246" t="n">
        <v>5</v>
      </c>
      <c r="C246" t="n">
        <v>0.463363</v>
      </c>
      <c r="D246" t="n">
        <v>0.805476</v>
      </c>
      <c r="E246" t="n">
        <v>0.481072</v>
      </c>
      <c r="F246" t="n">
        <v>0.468255</v>
      </c>
      <c r="G246" t="n">
        <v>0.801887</v>
      </c>
      <c r="H246" t="n">
        <v>0.644346</v>
      </c>
      <c r="I246" t="n">
        <v>0.860805</v>
      </c>
      <c r="J246" t="n">
        <v>2.285827</v>
      </c>
      <c r="K246" t="n">
        <v>0</v>
      </c>
      <c r="L246" t="n">
        <v>0.1</v>
      </c>
      <c r="M246" t="n">
        <v>0.29986</v>
      </c>
    </row>
    <row r="247">
      <c r="A247" t="inlineStr">
        <is>
          <t>opt-sgd-lr0.1</t>
        </is>
      </c>
      <c r="B247" t="n">
        <v>6</v>
      </c>
      <c r="C247" t="n">
        <v>0.472896</v>
      </c>
      <c r="D247" t="n">
        <v>0.797185</v>
      </c>
      <c r="E247" t="n">
        <v>0.465555</v>
      </c>
      <c r="F247" t="n">
        <v>0.478174</v>
      </c>
      <c r="G247" t="n">
        <v>0.795293</v>
      </c>
      <c r="H247" t="n">
        <v>0.627634</v>
      </c>
      <c r="I247" t="n">
        <v>0.909469</v>
      </c>
      <c r="J247" t="n">
        <v>2.250853</v>
      </c>
      <c r="K247" t="n">
        <v>0</v>
      </c>
      <c r="L247" t="n">
        <v>0.1</v>
      </c>
      <c r="M247" t="n">
        <v>0.293562</v>
      </c>
    </row>
    <row r="248">
      <c r="A248" t="inlineStr">
        <is>
          <t>opt-sgd-lr0.1</t>
        </is>
      </c>
      <c r="B248" t="n">
        <v>7</v>
      </c>
      <c r="C248" t="n">
        <v>0.444346</v>
      </c>
      <c r="D248" t="n">
        <v>0.80972</v>
      </c>
      <c r="E248" t="n">
        <v>0.452394</v>
      </c>
      <c r="F248" t="n">
        <v>0.450049</v>
      </c>
      <c r="G248" t="n">
        <v>0.807567</v>
      </c>
      <c r="H248" t="n">
        <v>0.677993</v>
      </c>
      <c r="I248" t="n">
        <v>0.938312</v>
      </c>
      <c r="J248" t="n">
        <v>2.557312</v>
      </c>
      <c r="K248" t="n">
        <v>0</v>
      </c>
      <c r="L248" t="n">
        <v>0.1</v>
      </c>
      <c r="M248" t="n">
        <v>0.295995</v>
      </c>
    </row>
    <row r="249">
      <c r="A249" t="inlineStr">
        <is>
          <t>opt-sgd-lr0.1</t>
        </is>
      </c>
      <c r="B249" t="n">
        <v>8</v>
      </c>
      <c r="C249" t="n">
        <v>0.451513</v>
      </c>
      <c r="D249" t="n">
        <v>0.812517</v>
      </c>
      <c r="E249" t="n">
        <v>0.435696</v>
      </c>
      <c r="F249" t="n">
        <v>0.45751</v>
      </c>
      <c r="G249" t="n">
        <v>0.809826</v>
      </c>
      <c r="H249" t="n">
        <v>0.67286</v>
      </c>
      <c r="I249" t="n">
        <v>0.915343</v>
      </c>
      <c r="J249" t="n">
        <v>2.379721</v>
      </c>
      <c r="K249" t="n">
        <v>0</v>
      </c>
      <c r="L249" t="n">
        <v>0.1</v>
      </c>
      <c r="M249" t="n">
        <v>0.306052</v>
      </c>
    </row>
    <row r="250">
      <c r="A250" t="inlineStr">
        <is>
          <t>opt-sgd-lr0.1</t>
        </is>
      </c>
      <c r="B250" t="n">
        <v>9</v>
      </c>
      <c r="C250" t="n">
        <v>0.403071</v>
      </c>
      <c r="D250" t="n">
        <v>0.833319</v>
      </c>
      <c r="E250" t="n">
        <v>0.426905</v>
      </c>
      <c r="F250" t="n">
        <v>0.409009</v>
      </c>
      <c r="G250" t="n">
        <v>0.829091</v>
      </c>
      <c r="H250" t="n">
        <v>0.673186</v>
      </c>
      <c r="I250" t="n">
        <v>0.9571460000000001</v>
      </c>
      <c r="J250" t="n">
        <v>2.485867</v>
      </c>
      <c r="K250" t="n">
        <v>0</v>
      </c>
      <c r="L250" t="n">
        <v>0.1</v>
      </c>
      <c r="M250" t="n">
        <v>0.305456</v>
      </c>
    </row>
    <row r="251">
      <c r="A251" t="inlineStr">
        <is>
          <t>opt-sgd-lr0.1</t>
        </is>
      </c>
      <c r="B251" t="n">
        <v>10</v>
      </c>
      <c r="C251" t="n">
        <v>0.41463</v>
      </c>
      <c r="D251" t="n">
        <v>0.827908</v>
      </c>
      <c r="E251" t="n">
        <v>0.418636</v>
      </c>
      <c r="F251" t="n">
        <v>0.421298</v>
      </c>
      <c r="G251" t="n">
        <v>0.823584</v>
      </c>
      <c r="H251" t="n">
        <v>0.685524</v>
      </c>
      <c r="I251" t="n">
        <v>0.9862379999999999</v>
      </c>
      <c r="J251" t="n">
        <v>2.622416</v>
      </c>
      <c r="K251" t="n">
        <v>0</v>
      </c>
      <c r="L251" t="n">
        <v>0.1</v>
      </c>
      <c r="M251" t="n">
        <v>0.293418</v>
      </c>
    </row>
    <row r="252">
      <c r="A252" t="inlineStr">
        <is>
          <t>opt-sgd-lr0.1</t>
        </is>
      </c>
      <c r="B252" t="n">
        <v>11</v>
      </c>
      <c r="C252" t="n">
        <v>0.416035</v>
      </c>
      <c r="D252" t="n">
        <v>0.82353</v>
      </c>
      <c r="E252" t="n">
        <v>0.406301</v>
      </c>
      <c r="F252" t="n">
        <v>0.422225</v>
      </c>
      <c r="G252" t="n">
        <v>0.820088</v>
      </c>
      <c r="H252" t="n">
        <v>0.696636</v>
      </c>
      <c r="I252" t="n">
        <v>0.964971</v>
      </c>
      <c r="J252" t="n">
        <v>2.235863</v>
      </c>
      <c r="K252" t="n">
        <v>0</v>
      </c>
      <c r="L252" t="n">
        <v>0.1</v>
      </c>
      <c r="M252" t="n">
        <v>0.304228</v>
      </c>
    </row>
    <row r="253">
      <c r="A253" t="inlineStr">
        <is>
          <t>opt-sgd-lr0.1</t>
        </is>
      </c>
      <c r="B253" t="n">
        <v>12</v>
      </c>
      <c r="C253" t="n">
        <v>0.574126</v>
      </c>
      <c r="D253" t="n">
        <v>0.751368</v>
      </c>
      <c r="E253" t="n">
        <v>0.397217</v>
      </c>
      <c r="F253" t="n">
        <v>0.580767</v>
      </c>
      <c r="G253" t="n">
        <v>0.7495540000000001</v>
      </c>
      <c r="H253" t="n">
        <v>0.6003270000000001</v>
      </c>
      <c r="I253" t="n">
        <v>0.957716</v>
      </c>
      <c r="J253" t="n">
        <v>2.99404</v>
      </c>
      <c r="K253" t="n">
        <v>0</v>
      </c>
      <c r="L253" t="n">
        <v>0.1</v>
      </c>
      <c r="M253" t="n">
        <v>0.293379</v>
      </c>
    </row>
    <row r="254">
      <c r="A254" t="inlineStr">
        <is>
          <t>opt-sgd-lr0.1</t>
        </is>
      </c>
      <c r="B254" t="n">
        <v>13</v>
      </c>
      <c r="C254" t="n">
        <v>0.388357</v>
      </c>
      <c r="D254" t="n">
        <v>0.835486</v>
      </c>
      <c r="E254" t="n">
        <v>0.391541</v>
      </c>
      <c r="F254" t="n">
        <v>0.397091</v>
      </c>
      <c r="G254" t="n">
        <v>0.830221</v>
      </c>
      <c r="H254" t="n">
        <v>0.704639</v>
      </c>
      <c r="I254" t="n">
        <v>1.013764</v>
      </c>
      <c r="J254" t="n">
        <v>2.6267</v>
      </c>
      <c r="K254" t="n">
        <v>0</v>
      </c>
      <c r="L254" t="n">
        <v>0.1</v>
      </c>
      <c r="M254" t="n">
        <v>0.287676</v>
      </c>
    </row>
    <row r="255">
      <c r="A255" t="inlineStr">
        <is>
          <t>opt-sgd-lr0.1</t>
        </is>
      </c>
      <c r="B255" t="n">
        <v>14</v>
      </c>
      <c r="C255" t="n">
        <v>0.368249</v>
      </c>
      <c r="D255" t="n">
        <v>0.846163</v>
      </c>
      <c r="E255" t="n">
        <v>0.38252</v>
      </c>
      <c r="F255" t="n">
        <v>0.375591</v>
      </c>
      <c r="G255" t="n">
        <v>0.842506</v>
      </c>
      <c r="H255" t="n">
        <v>0.726668</v>
      </c>
      <c r="I255" t="n">
        <v>1.001487</v>
      </c>
      <c r="J255" t="n">
        <v>2.980464</v>
      </c>
      <c r="K255" t="n">
        <v>0</v>
      </c>
      <c r="L255" t="n">
        <v>0.1</v>
      </c>
      <c r="M255" t="n">
        <v>0.286701</v>
      </c>
    </row>
    <row r="256">
      <c r="A256" t="inlineStr">
        <is>
          <t>opt-sgd-lr0.1</t>
        </is>
      </c>
      <c r="B256" t="n">
        <v>15</v>
      </c>
      <c r="C256" t="n">
        <v>0.353253</v>
      </c>
      <c r="D256" t="n">
        <v>0.853706</v>
      </c>
      <c r="E256" t="n">
        <v>0.374574</v>
      </c>
      <c r="F256" t="n">
        <v>0.360416</v>
      </c>
      <c r="G256" t="n">
        <v>0.850487</v>
      </c>
      <c r="H256" t="n">
        <v>0.72962</v>
      </c>
      <c r="I256" t="n">
        <v>0.982051</v>
      </c>
      <c r="J256" t="n">
        <v>3.087989</v>
      </c>
      <c r="K256" t="n">
        <v>0</v>
      </c>
      <c r="L256" t="n">
        <v>0.1</v>
      </c>
      <c r="M256" t="n">
        <v>0.297283</v>
      </c>
    </row>
    <row r="257">
      <c r="A257" t="inlineStr">
        <is>
          <t>opt-sgd-lr0.1</t>
        </is>
      </c>
      <c r="B257" t="n">
        <v>16</v>
      </c>
      <c r="C257" t="n">
        <v>0.352643</v>
      </c>
      <c r="D257" t="n">
        <v>0.85454</v>
      </c>
      <c r="E257" t="n">
        <v>0.369383</v>
      </c>
      <c r="F257" t="n">
        <v>0.361282</v>
      </c>
      <c r="G257" t="n">
        <v>0.850315</v>
      </c>
      <c r="H257" t="n">
        <v>0.734524</v>
      </c>
      <c r="I257" t="n">
        <v>1.016128</v>
      </c>
      <c r="J257" t="n">
        <v>2.794634</v>
      </c>
      <c r="K257" t="n">
        <v>0</v>
      </c>
      <c r="L257" t="n">
        <v>0.1</v>
      </c>
      <c r="M257" t="n">
        <v>0.312733</v>
      </c>
    </row>
    <row r="258">
      <c r="A258" t="inlineStr">
        <is>
          <t>opt-sgd-lr0.1</t>
        </is>
      </c>
      <c r="B258" t="n">
        <v>17</v>
      </c>
      <c r="C258" t="n">
        <v>0.359777</v>
      </c>
      <c r="D258" t="n">
        <v>0.848015</v>
      </c>
      <c r="E258" t="n">
        <v>0.361082</v>
      </c>
      <c r="F258" t="n">
        <v>0.367746</v>
      </c>
      <c r="G258" t="n">
        <v>0.844248</v>
      </c>
      <c r="H258" t="n">
        <v>0.739045</v>
      </c>
      <c r="I258" t="n">
        <v>0.990147</v>
      </c>
      <c r="J258" t="n">
        <v>3.980894</v>
      </c>
      <c r="K258" t="n">
        <v>0</v>
      </c>
      <c r="L258" t="n">
        <v>0.1</v>
      </c>
      <c r="M258" t="n">
        <v>0.289641</v>
      </c>
    </row>
    <row r="259">
      <c r="A259" t="inlineStr">
        <is>
          <t>opt-sgd-lr0.1</t>
        </is>
      </c>
      <c r="B259" t="n">
        <v>18</v>
      </c>
      <c r="C259" t="n">
        <v>0.334109</v>
      </c>
      <c r="D259" t="n">
        <v>0.862874</v>
      </c>
      <c r="E259" t="n">
        <v>0.35757</v>
      </c>
      <c r="F259" t="n">
        <v>0.342804</v>
      </c>
      <c r="G259" t="n">
        <v>0.8581569999999999</v>
      </c>
      <c r="H259" t="n">
        <v>0.742543</v>
      </c>
      <c r="I259" t="n">
        <v>1.043559</v>
      </c>
      <c r="J259" t="n">
        <v>2.566165</v>
      </c>
      <c r="K259" t="n">
        <v>0</v>
      </c>
      <c r="L259" t="n">
        <v>0.1</v>
      </c>
      <c r="M259" t="n">
        <v>0.289979</v>
      </c>
    </row>
    <row r="260">
      <c r="A260" t="inlineStr">
        <is>
          <t>opt-sgd-lr0.1</t>
        </is>
      </c>
      <c r="B260" t="n">
        <v>19</v>
      </c>
      <c r="C260" t="n">
        <v>0.349059</v>
      </c>
      <c r="D260" t="n">
        <v>0.853324</v>
      </c>
      <c r="E260" t="n">
        <v>0.349518</v>
      </c>
      <c r="F260" t="n">
        <v>0.357775</v>
      </c>
      <c r="G260" t="n">
        <v>0.8485510000000001</v>
      </c>
      <c r="H260" t="n">
        <v>0.756332</v>
      </c>
      <c r="I260" t="n">
        <v>1.024662</v>
      </c>
      <c r="J260" t="n">
        <v>2.650328</v>
      </c>
      <c r="K260" t="n">
        <v>0</v>
      </c>
      <c r="L260" t="n">
        <v>0.1</v>
      </c>
      <c r="M260" t="n">
        <v>0.291826</v>
      </c>
    </row>
    <row r="261">
      <c r="A261" t="inlineStr">
        <is>
          <t>opt-sgd-lr0.1</t>
        </is>
      </c>
      <c r="B261" t="n">
        <v>20</v>
      </c>
      <c r="C261" t="n">
        <v>0.403883</v>
      </c>
      <c r="D261" t="n">
        <v>0.83106</v>
      </c>
      <c r="E261" t="n">
        <v>0.345517</v>
      </c>
      <c r="F261" t="n">
        <v>0.413467</v>
      </c>
      <c r="G261" t="n">
        <v>0.82637</v>
      </c>
      <c r="H261" t="n">
        <v>0.683402</v>
      </c>
      <c r="I261" t="n">
        <v>1.046426</v>
      </c>
      <c r="J261" t="n">
        <v>2.637309</v>
      </c>
      <c r="K261" t="n">
        <v>0</v>
      </c>
      <c r="L261" t="n">
        <v>0.1</v>
      </c>
      <c r="M261" t="n">
        <v>0.301201</v>
      </c>
    </row>
    <row r="262">
      <c r="A262" t="inlineStr">
        <is>
          <t>opt-sgd-lr0.3</t>
        </is>
      </c>
      <c r="B262" t="n">
        <v>1</v>
      </c>
      <c r="C262" t="n">
        <v>0.538787</v>
      </c>
      <c r="D262" t="n">
        <v>0.767921</v>
      </c>
      <c r="E262" t="n">
        <v>0.614281</v>
      </c>
      <c r="F262" t="n">
        <v>0.541418</v>
      </c>
      <c r="G262" t="n">
        <v>0.766518</v>
      </c>
      <c r="H262" t="n">
        <v>0.575596</v>
      </c>
      <c r="I262" t="n">
        <v>0.555496</v>
      </c>
      <c r="J262" t="n">
        <v>2.871076</v>
      </c>
      <c r="K262" t="n">
        <v>0</v>
      </c>
      <c r="L262" t="n">
        <v>0.3</v>
      </c>
      <c r="M262" t="n">
        <v>0.29006</v>
      </c>
    </row>
    <row r="263">
      <c r="A263" t="inlineStr">
        <is>
          <t>opt-sgd-lr0.3</t>
        </is>
      </c>
      <c r="B263" t="n">
        <v>2</v>
      </c>
      <c r="C263" t="n">
        <v>0.474175</v>
      </c>
      <c r="D263" t="n">
        <v>0.80276</v>
      </c>
      <c r="E263" t="n">
        <v>0.510103</v>
      </c>
      <c r="F263" t="n">
        <v>0.478268</v>
      </c>
      <c r="G263" t="n">
        <v>0.799585</v>
      </c>
      <c r="H263" t="n">
        <v>0.6706530000000001</v>
      </c>
      <c r="I263" t="n">
        <v>0.579047</v>
      </c>
      <c r="J263" t="n">
        <v>1.388869</v>
      </c>
      <c r="K263" t="n">
        <v>0</v>
      </c>
      <c r="L263" t="n">
        <v>0.3</v>
      </c>
      <c r="M263" t="n">
        <v>0.295931</v>
      </c>
    </row>
    <row r="264">
      <c r="A264" t="inlineStr">
        <is>
          <t>opt-sgd-lr0.3</t>
        </is>
      </c>
      <c r="B264" t="n">
        <v>3</v>
      </c>
      <c r="C264" t="n">
        <v>0.449856</v>
      </c>
      <c r="D264" t="n">
        <v>0.806964</v>
      </c>
      <c r="E264" t="n">
        <v>0.464358</v>
      </c>
      <c r="F264" t="n">
        <v>0.455641</v>
      </c>
      <c r="G264" t="n">
        <v>0.803339</v>
      </c>
      <c r="H264" t="n">
        <v>0.669598</v>
      </c>
      <c r="I264" t="n">
        <v>0.60222</v>
      </c>
      <c r="J264" t="n">
        <v>1.675486</v>
      </c>
      <c r="K264" t="n">
        <v>0</v>
      </c>
      <c r="L264" t="n">
        <v>0.3</v>
      </c>
      <c r="M264" t="n">
        <v>0.293139</v>
      </c>
    </row>
    <row r="265">
      <c r="A265" t="inlineStr">
        <is>
          <t>opt-sgd-lr0.3</t>
        </is>
      </c>
      <c r="B265" t="n">
        <v>4</v>
      </c>
      <c r="C265" t="n">
        <v>0.495797</v>
      </c>
      <c r="D265" t="n">
        <v>0.784462</v>
      </c>
      <c r="E265" t="n">
        <v>0.434556</v>
      </c>
      <c r="F265" t="n">
        <v>0.502982</v>
      </c>
      <c r="G265" t="n">
        <v>0.781857</v>
      </c>
      <c r="H265" t="n">
        <v>0.683464</v>
      </c>
      <c r="I265" t="n">
        <v>0.627318</v>
      </c>
      <c r="J265" t="n">
        <v>1.733283</v>
      </c>
      <c r="K265" t="n">
        <v>0</v>
      </c>
      <c r="L265" t="n">
        <v>0.3</v>
      </c>
      <c r="M265" t="n">
        <v>0.289449</v>
      </c>
    </row>
    <row r="266">
      <c r="A266" t="inlineStr">
        <is>
          <t>opt-sgd-lr0.3</t>
        </is>
      </c>
      <c r="B266" t="n">
        <v>5</v>
      </c>
      <c r="C266" t="n">
        <v>0.416211</v>
      </c>
      <c r="D266" t="n">
        <v>0.823901</v>
      </c>
      <c r="E266" t="n">
        <v>0.411045</v>
      </c>
      <c r="F266" t="n">
        <v>0.422643</v>
      </c>
      <c r="G266" t="n">
        <v>0.821422</v>
      </c>
      <c r="H266" t="n">
        <v>0.702662</v>
      </c>
      <c r="I266" t="n">
        <v>0.637889</v>
      </c>
      <c r="J266" t="n">
        <v>1.720146</v>
      </c>
      <c r="K266" t="n">
        <v>0</v>
      </c>
      <c r="L266" t="n">
        <v>0.3</v>
      </c>
      <c r="M266" t="n">
        <v>0.293983</v>
      </c>
    </row>
    <row r="267">
      <c r="A267" t="inlineStr">
        <is>
          <t>opt-sgd-lr0.3</t>
        </is>
      </c>
      <c r="B267" t="n">
        <v>6</v>
      </c>
      <c r="C267" t="n">
        <v>0.383946</v>
      </c>
      <c r="D267" t="n">
        <v>0.839047</v>
      </c>
      <c r="E267" t="n">
        <v>0.392233</v>
      </c>
      <c r="F267" t="n">
        <v>0.390841</v>
      </c>
      <c r="G267" t="n">
        <v>0.835288</v>
      </c>
      <c r="H267" t="n">
        <v>0.7110610000000001</v>
      </c>
      <c r="I267" t="n">
        <v>0.656308</v>
      </c>
      <c r="J267" t="n">
        <v>1.403435</v>
      </c>
      <c r="K267" t="n">
        <v>0</v>
      </c>
      <c r="L267" t="n">
        <v>0.3</v>
      </c>
      <c r="M267" t="n">
        <v>0.299206</v>
      </c>
    </row>
    <row r="268">
      <c r="A268" t="inlineStr">
        <is>
          <t>opt-sgd-lr0.3</t>
        </is>
      </c>
      <c r="B268" t="n">
        <v>7</v>
      </c>
      <c r="C268" t="n">
        <v>0.364965</v>
      </c>
      <c r="D268" t="n">
        <v>0.845644</v>
      </c>
      <c r="E268" t="n">
        <v>0.375778</v>
      </c>
      <c r="F268" t="n">
        <v>0.373577</v>
      </c>
      <c r="G268" t="n">
        <v>0.84158</v>
      </c>
      <c r="H268" t="n">
        <v>0.733136</v>
      </c>
      <c r="I268" t="n">
        <v>0.659656</v>
      </c>
      <c r="J268" t="n">
        <v>2.095047</v>
      </c>
      <c r="K268" t="n">
        <v>0</v>
      </c>
      <c r="L268" t="n">
        <v>0.3</v>
      </c>
      <c r="M268" t="n">
        <v>0.293982</v>
      </c>
    </row>
    <row r="269">
      <c r="A269" t="inlineStr">
        <is>
          <t>opt-sgd-lr0.3</t>
        </is>
      </c>
      <c r="B269" t="n">
        <v>8</v>
      </c>
      <c r="C269" t="n">
        <v>0.424276</v>
      </c>
      <c r="D269" t="n">
        <v>0.830514</v>
      </c>
      <c r="E269" t="n">
        <v>0.358972</v>
      </c>
      <c r="F269" t="n">
        <v>0.434203</v>
      </c>
      <c r="G269" t="n">
        <v>0.827295</v>
      </c>
      <c r="H269" t="n">
        <v>0.720197</v>
      </c>
      <c r="I269" t="n">
        <v>0.661723</v>
      </c>
      <c r="J269" t="n">
        <v>1.313587</v>
      </c>
      <c r="K269" t="n">
        <v>0</v>
      </c>
      <c r="L269" t="n">
        <v>0.3</v>
      </c>
      <c r="M269" t="n">
        <v>0.292758</v>
      </c>
    </row>
    <row r="270">
      <c r="A270" t="inlineStr">
        <is>
          <t>opt-sgd-lr0.3</t>
        </is>
      </c>
      <c r="B270" t="n">
        <v>9</v>
      </c>
      <c r="C270" t="n">
        <v>0.334889</v>
      </c>
      <c r="D270" t="n">
        <v>0.861822</v>
      </c>
      <c r="E270" t="n">
        <v>0.347068</v>
      </c>
      <c r="F270" t="n">
        <v>0.344992</v>
      </c>
      <c r="G270" t="n">
        <v>0.857791</v>
      </c>
      <c r="H270" t="n">
        <v>0.7396239999999999</v>
      </c>
      <c r="I270" t="n">
        <v>0.670999</v>
      </c>
      <c r="J270" t="n">
        <v>1.361206</v>
      </c>
      <c r="K270" t="n">
        <v>0</v>
      </c>
      <c r="L270" t="n">
        <v>0.3</v>
      </c>
      <c r="M270" t="n">
        <v>0.289399</v>
      </c>
    </row>
    <row r="271">
      <c r="A271" t="inlineStr">
        <is>
          <t>opt-sgd-lr0.3</t>
        </is>
      </c>
      <c r="B271" t="n">
        <v>10</v>
      </c>
      <c r="C271" t="n">
        <v>0.36344</v>
      </c>
      <c r="D271" t="n">
        <v>0.850839</v>
      </c>
      <c r="E271" t="n">
        <v>0.337557</v>
      </c>
      <c r="F271" t="n">
        <v>0.375824</v>
      </c>
      <c r="G271" t="n">
        <v>0.845722</v>
      </c>
      <c r="H271" t="n">
        <v>0.743135</v>
      </c>
      <c r="I271" t="n">
        <v>0.6844519999999999</v>
      </c>
      <c r="J271" t="n">
        <v>1.765332</v>
      </c>
      <c r="K271" t="n">
        <v>0</v>
      </c>
      <c r="L271" t="n">
        <v>0.3</v>
      </c>
      <c r="M271" t="n">
        <v>0.290222</v>
      </c>
    </row>
    <row r="272">
      <c r="A272" t="inlineStr">
        <is>
          <t>opt-sgd-lr0.3</t>
        </is>
      </c>
      <c r="B272" t="n">
        <v>11</v>
      </c>
      <c r="C272" t="n">
        <v>0.327019</v>
      </c>
      <c r="D272" t="n">
        <v>0.865165</v>
      </c>
      <c r="E272" t="n">
        <v>0.324873</v>
      </c>
      <c r="F272" t="n">
        <v>0.338568</v>
      </c>
      <c r="G272" t="n">
        <v>0.860502</v>
      </c>
      <c r="H272" t="n">
        <v>0.761675</v>
      </c>
      <c r="I272" t="n">
        <v>0.680383</v>
      </c>
      <c r="J272" t="n">
        <v>1.476393</v>
      </c>
      <c r="K272" t="n">
        <v>0</v>
      </c>
      <c r="L272" t="n">
        <v>0.3</v>
      </c>
      <c r="M272" t="n">
        <v>0.291721</v>
      </c>
    </row>
    <row r="273">
      <c r="A273" t="inlineStr">
        <is>
          <t>opt-sgd-lr0.3</t>
        </is>
      </c>
      <c r="B273" t="n">
        <v>12</v>
      </c>
      <c r="C273" t="n">
        <v>0.367676</v>
      </c>
      <c r="D273" t="n">
        <v>0.848932</v>
      </c>
      <c r="E273" t="n">
        <v>0.316465</v>
      </c>
      <c r="F273" t="n">
        <v>0.378286</v>
      </c>
      <c r="G273" t="n">
        <v>0.8467980000000001</v>
      </c>
      <c r="H273" t="n">
        <v>0.699408</v>
      </c>
      <c r="I273" t="n">
        <v>0.684716</v>
      </c>
      <c r="J273" t="n">
        <v>1.855674</v>
      </c>
      <c r="K273" t="n">
        <v>0</v>
      </c>
      <c r="L273" t="n">
        <v>0.3</v>
      </c>
      <c r="M273" t="n">
        <v>0.292094</v>
      </c>
    </row>
    <row r="274">
      <c r="A274" t="inlineStr">
        <is>
          <t>opt-sgd-lr0.3</t>
        </is>
      </c>
      <c r="B274" t="n">
        <v>13</v>
      </c>
      <c r="C274" t="n">
        <v>0.319702</v>
      </c>
      <c r="D274" t="n">
        <v>0.865394</v>
      </c>
      <c r="E274" t="n">
        <v>0.309623</v>
      </c>
      <c r="F274" t="n">
        <v>0.332153</v>
      </c>
      <c r="G274" t="n">
        <v>0.859599</v>
      </c>
      <c r="H274" t="n">
        <v>0.776191</v>
      </c>
      <c r="I274" t="n">
        <v>0.701396</v>
      </c>
      <c r="J274" t="n">
        <v>1.752633</v>
      </c>
      <c r="K274" t="n">
        <v>0</v>
      </c>
      <c r="L274" t="n">
        <v>0.3</v>
      </c>
      <c r="M274" t="n">
        <v>0.304218</v>
      </c>
    </row>
    <row r="275">
      <c r="A275" t="inlineStr">
        <is>
          <t>opt-sgd-lr0.3</t>
        </is>
      </c>
      <c r="B275" t="n">
        <v>14</v>
      </c>
      <c r="C275" t="n">
        <v>0.292648</v>
      </c>
      <c r="D275" t="n">
        <v>0.878945</v>
      </c>
      <c r="E275" t="n">
        <v>0.30021</v>
      </c>
      <c r="F275" t="n">
        <v>0.304397</v>
      </c>
      <c r="G275" t="n">
        <v>0.874938</v>
      </c>
      <c r="H275" t="n">
        <v>0.795455</v>
      </c>
      <c r="I275" t="n">
        <v>0.696197</v>
      </c>
      <c r="J275" t="n">
        <v>1.810555</v>
      </c>
      <c r="K275" t="n">
        <v>0</v>
      </c>
      <c r="L275" t="n">
        <v>0.3</v>
      </c>
      <c r="M275" t="n">
        <v>0.294366</v>
      </c>
    </row>
    <row r="276">
      <c r="A276" t="inlineStr">
        <is>
          <t>opt-sgd-lr0.3</t>
        </is>
      </c>
      <c r="B276" t="n">
        <v>15</v>
      </c>
      <c r="C276" t="n">
        <v>0.288842</v>
      </c>
      <c r="D276" t="n">
        <v>0.881107</v>
      </c>
      <c r="E276" t="n">
        <v>0.294344</v>
      </c>
      <c r="F276" t="n">
        <v>0.301443</v>
      </c>
      <c r="G276" t="n">
        <v>0.8758629999999999</v>
      </c>
      <c r="H276" t="n">
        <v>0.765423</v>
      </c>
      <c r="I276" t="n">
        <v>0.698179</v>
      </c>
      <c r="J276" t="n">
        <v>2.417967</v>
      </c>
      <c r="K276" t="n">
        <v>0</v>
      </c>
      <c r="L276" t="n">
        <v>0.3</v>
      </c>
      <c r="M276" t="n">
        <v>0.290034</v>
      </c>
    </row>
    <row r="277">
      <c r="A277" t="inlineStr">
        <is>
          <t>opt-sgd-lr0.3</t>
        </is>
      </c>
      <c r="B277" t="n">
        <v>16</v>
      </c>
      <c r="C277" t="n">
        <v>0.275108</v>
      </c>
      <c r="D277" t="n">
        <v>0.887916</v>
      </c>
      <c r="E277" t="n">
        <v>0.288031</v>
      </c>
      <c r="F277" t="n">
        <v>0.288099</v>
      </c>
      <c r="G277" t="n">
        <v>0.881876</v>
      </c>
      <c r="H277" t="n">
        <v>0.803492</v>
      </c>
      <c r="I277" t="n">
        <v>0.706585</v>
      </c>
      <c r="J277" t="n">
        <v>1.68568</v>
      </c>
      <c r="K277" t="n">
        <v>0</v>
      </c>
      <c r="L277" t="n">
        <v>0.3</v>
      </c>
      <c r="M277" t="n">
        <v>0.295351</v>
      </c>
    </row>
    <row r="278">
      <c r="A278" t="inlineStr">
        <is>
          <t>opt-sgd-lr0.3</t>
        </is>
      </c>
      <c r="B278" t="n">
        <v>17</v>
      </c>
      <c r="C278" t="n">
        <v>0.315145</v>
      </c>
      <c r="D278" t="n">
        <v>0.871939</v>
      </c>
      <c r="E278" t="n">
        <v>0.281554</v>
      </c>
      <c r="F278" t="n">
        <v>0.329553</v>
      </c>
      <c r="G278" t="n">
        <v>0.865977</v>
      </c>
      <c r="H278" t="n">
        <v>0.797863</v>
      </c>
      <c r="I278" t="n">
        <v>0.705592</v>
      </c>
      <c r="J278" t="n">
        <v>2.219006</v>
      </c>
      <c r="K278" t="n">
        <v>0</v>
      </c>
      <c r="L278" t="n">
        <v>0.3</v>
      </c>
      <c r="M278" t="n">
        <v>0.299262</v>
      </c>
    </row>
    <row r="279">
      <c r="A279" t="inlineStr">
        <is>
          <t>opt-sgd-lr0.3</t>
        </is>
      </c>
      <c r="B279" t="n">
        <v>18</v>
      </c>
      <c r="C279" t="n">
        <v>0.298088</v>
      </c>
      <c r="D279" t="n">
        <v>0.876239</v>
      </c>
      <c r="E279" t="n">
        <v>0.276405</v>
      </c>
      <c r="F279" t="n">
        <v>0.313096</v>
      </c>
      <c r="G279" t="n">
        <v>0.870259</v>
      </c>
      <c r="H279" t="n">
        <v>0.785111</v>
      </c>
      <c r="I279" t="n">
        <v>0.716848</v>
      </c>
      <c r="J279" t="n">
        <v>1.860072</v>
      </c>
      <c r="K279" t="n">
        <v>0</v>
      </c>
      <c r="L279" t="n">
        <v>0.3</v>
      </c>
      <c r="M279" t="n">
        <v>0.28915</v>
      </c>
    </row>
    <row r="280">
      <c r="A280" t="inlineStr">
        <is>
          <t>opt-sgd-lr0.3</t>
        </is>
      </c>
      <c r="B280" t="n">
        <v>19</v>
      </c>
      <c r="C280" t="n">
        <v>0.281335</v>
      </c>
      <c r="D280" t="n">
        <v>0.884848</v>
      </c>
      <c r="E280" t="n">
        <v>0.268779</v>
      </c>
      <c r="F280" t="n">
        <v>0.294412</v>
      </c>
      <c r="G280" t="n">
        <v>0.879682</v>
      </c>
      <c r="H280" t="n">
        <v>0.802501</v>
      </c>
      <c r="I280" t="n">
        <v>0.703831</v>
      </c>
      <c r="J280" t="n">
        <v>1.531144</v>
      </c>
      <c r="K280" t="n">
        <v>0</v>
      </c>
      <c r="L280" t="n">
        <v>0.3</v>
      </c>
      <c r="M280" t="n">
        <v>0.288468</v>
      </c>
    </row>
    <row r="281">
      <c r="A281" t="inlineStr">
        <is>
          <t>opt-sgd-lr0.3</t>
        </is>
      </c>
      <c r="B281" t="n">
        <v>20</v>
      </c>
      <c r="C281" t="n">
        <v>0.380521</v>
      </c>
      <c r="D281" t="n">
        <v>0.851482</v>
      </c>
      <c r="E281" t="n">
        <v>0.26478</v>
      </c>
      <c r="F281" t="n">
        <v>0.395761</v>
      </c>
      <c r="G281" t="n">
        <v>0.846055</v>
      </c>
      <c r="H281" t="n">
        <v>0.713449</v>
      </c>
      <c r="I281" t="n">
        <v>0.712539</v>
      </c>
      <c r="J281" t="n">
        <v>1.494934</v>
      </c>
      <c r="K281" t="n">
        <v>0</v>
      </c>
      <c r="L281" t="n">
        <v>0.3</v>
      </c>
      <c r="M281" t="n">
        <v>0.289519</v>
      </c>
    </row>
    <row r="282">
      <c r="A282" t="inlineStr">
        <is>
          <t>opt-sgd-lr1</t>
        </is>
      </c>
      <c r="B282" t="n">
        <v>1</v>
      </c>
      <c r="C282" t="n">
        <v>0.553192</v>
      </c>
      <c r="D282" t="n">
        <v>0.7496930000000001</v>
      </c>
      <c r="E282" t="n">
        <v>0.599749</v>
      </c>
      <c r="F282" t="n">
        <v>0.557192</v>
      </c>
      <c r="G282" t="n">
        <v>0.74837</v>
      </c>
      <c r="H282" t="n">
        <v>0.600579</v>
      </c>
      <c r="I282" t="n">
        <v>0.4092</v>
      </c>
      <c r="J282" t="n">
        <v>9.167123</v>
      </c>
      <c r="K282" t="n">
        <v>0</v>
      </c>
      <c r="L282" t="n">
        <v>1</v>
      </c>
      <c r="M282" t="n">
        <v>0.282524</v>
      </c>
    </row>
    <row r="283">
      <c r="A283" t="inlineStr">
        <is>
          <t>opt-sgd-lr1</t>
        </is>
      </c>
      <c r="B283" t="n">
        <v>2</v>
      </c>
      <c r="C283" t="n">
        <v>0.432761</v>
      </c>
      <c r="D283" t="n">
        <v>0.819447</v>
      </c>
      <c r="E283" t="n">
        <v>0.456979</v>
      </c>
      <c r="F283" t="n">
        <v>0.439486</v>
      </c>
      <c r="G283" t="n">
        <v>0.81501</v>
      </c>
      <c r="H283" t="n">
        <v>0.697337</v>
      </c>
      <c r="I283" t="n">
        <v>0.417402</v>
      </c>
      <c r="J283" t="n">
        <v>0.912134</v>
      </c>
      <c r="K283" t="n">
        <v>0</v>
      </c>
      <c r="L283" t="n">
        <v>1</v>
      </c>
      <c r="M283" t="n">
        <v>0.300686</v>
      </c>
    </row>
    <row r="284">
      <c r="A284" t="inlineStr">
        <is>
          <t>opt-sgd-lr1</t>
        </is>
      </c>
      <c r="B284" t="n">
        <v>3</v>
      </c>
      <c r="C284" t="n">
        <v>0.405647</v>
      </c>
      <c r="D284" t="n">
        <v>0.833835</v>
      </c>
      <c r="E284" t="n">
        <v>0.401743</v>
      </c>
      <c r="F284" t="n">
        <v>0.413257</v>
      </c>
      <c r="G284" t="n">
        <v>0.829887</v>
      </c>
      <c r="H284" t="n">
        <v>0.69947</v>
      </c>
      <c r="I284" t="n">
        <v>0.430235</v>
      </c>
      <c r="J284" t="n">
        <v>0.89231</v>
      </c>
      <c r="K284" t="n">
        <v>0</v>
      </c>
      <c r="L284" t="n">
        <v>1</v>
      </c>
      <c r="M284" t="n">
        <v>0.291907</v>
      </c>
    </row>
    <row r="285">
      <c r="A285" t="inlineStr">
        <is>
          <t>opt-sgd-lr1</t>
        </is>
      </c>
      <c r="B285" t="n">
        <v>4</v>
      </c>
      <c r="C285" t="n">
        <v>0.455304</v>
      </c>
      <c r="D285" t="n">
        <v>0.807795</v>
      </c>
      <c r="E285" t="n">
        <v>0.367147</v>
      </c>
      <c r="F285" t="n">
        <v>0.46694</v>
      </c>
      <c r="G285" t="n">
        <v>0.804393</v>
      </c>
      <c r="H285" t="n">
        <v>0.726976</v>
      </c>
      <c r="I285" t="n">
        <v>0.441407</v>
      </c>
      <c r="J285" t="n">
        <v>0.951841</v>
      </c>
      <c r="K285" t="n">
        <v>0</v>
      </c>
      <c r="L285" t="n">
        <v>1</v>
      </c>
      <c r="M285" t="n">
        <v>0.295802</v>
      </c>
    </row>
    <row r="286">
      <c r="A286" t="inlineStr">
        <is>
          <t>opt-sgd-lr1</t>
        </is>
      </c>
      <c r="B286" t="n">
        <v>5</v>
      </c>
      <c r="C286" t="n">
        <v>0.362655</v>
      </c>
      <c r="D286" t="n">
        <v>0.85184</v>
      </c>
      <c r="E286" t="n">
        <v>0.340514</v>
      </c>
      <c r="F286" t="n">
        <v>0.373261</v>
      </c>
      <c r="G286" t="n">
        <v>0.847465</v>
      </c>
      <c r="H286" t="n">
        <v>0.726176</v>
      </c>
      <c r="I286" t="n">
        <v>0.44863</v>
      </c>
      <c r="J286" t="n">
        <v>0.822769</v>
      </c>
      <c r="K286" t="n">
        <v>0</v>
      </c>
      <c r="L286" t="n">
        <v>1</v>
      </c>
      <c r="M286" t="n">
        <v>0.292215</v>
      </c>
    </row>
    <row r="287">
      <c r="A287" t="inlineStr">
        <is>
          <t>opt-sgd-lr1</t>
        </is>
      </c>
      <c r="B287" t="n">
        <v>6</v>
      </c>
      <c r="C287" t="n">
        <v>0.472717</v>
      </c>
      <c r="D287" t="n">
        <v>0.8068959999999999</v>
      </c>
      <c r="E287" t="n">
        <v>0.320604</v>
      </c>
      <c r="F287" t="n">
        <v>0.485861</v>
      </c>
      <c r="G287" t="n">
        <v>0.8027260000000001</v>
      </c>
      <c r="H287" t="n">
        <v>0.666207</v>
      </c>
      <c r="I287" t="n">
        <v>0.450636</v>
      </c>
      <c r="J287" t="n">
        <v>1.049664</v>
      </c>
      <c r="K287" t="n">
        <v>0</v>
      </c>
      <c r="L287" t="n">
        <v>1</v>
      </c>
      <c r="M287" t="n">
        <v>0.292759</v>
      </c>
    </row>
    <row r="288">
      <c r="A288" t="inlineStr">
        <is>
          <t>opt-sgd-lr1</t>
        </is>
      </c>
      <c r="B288" t="n">
        <v>7</v>
      </c>
      <c r="C288" t="n">
        <v>0.325185</v>
      </c>
      <c r="D288" t="n">
        <v>0.864861</v>
      </c>
      <c r="E288" t="n">
        <v>0.304724</v>
      </c>
      <c r="F288" t="n">
        <v>0.337299</v>
      </c>
      <c r="G288" t="n">
        <v>0.860352</v>
      </c>
      <c r="H288" t="n">
        <v>0.758697</v>
      </c>
      <c r="I288" t="n">
        <v>0.455672</v>
      </c>
      <c r="J288" t="n">
        <v>0.85586</v>
      </c>
      <c r="K288" t="n">
        <v>0</v>
      </c>
      <c r="L288" t="n">
        <v>1</v>
      </c>
      <c r="M288" t="n">
        <v>0.295799</v>
      </c>
    </row>
    <row r="289">
      <c r="A289" t="inlineStr">
        <is>
          <t>opt-sgd-lr1</t>
        </is>
      </c>
      <c r="B289" t="n">
        <v>8</v>
      </c>
      <c r="C289" t="n">
        <v>0.378355</v>
      </c>
      <c r="D289" t="n">
        <v>0.851428</v>
      </c>
      <c r="E289" t="n">
        <v>0.28991</v>
      </c>
      <c r="F289" t="n">
        <v>0.39494</v>
      </c>
      <c r="G289" t="n">
        <v>0.846927</v>
      </c>
      <c r="H289" t="n">
        <v>0.740927</v>
      </c>
      <c r="I289" t="n">
        <v>0.452869</v>
      </c>
      <c r="J289" t="n">
        <v>0.820205</v>
      </c>
      <c r="K289" t="n">
        <v>0</v>
      </c>
      <c r="L289" t="n">
        <v>1</v>
      </c>
      <c r="M289" t="n">
        <v>0.292866</v>
      </c>
    </row>
    <row r="290">
      <c r="A290" t="inlineStr">
        <is>
          <t>opt-sgd-lr1</t>
        </is>
      </c>
      <c r="B290" t="n">
        <v>9</v>
      </c>
      <c r="C290" t="n">
        <v>0.281801</v>
      </c>
      <c r="D290" t="n">
        <v>0.886284</v>
      </c>
      <c r="E290" t="n">
        <v>0.281046</v>
      </c>
      <c r="F290" t="n">
        <v>0.29816</v>
      </c>
      <c r="G290" t="n">
        <v>0.881661</v>
      </c>
      <c r="H290" t="n">
        <v>0.791338</v>
      </c>
      <c r="I290" t="n">
        <v>0.460169</v>
      </c>
      <c r="J290" t="n">
        <v>0.816997</v>
      </c>
      <c r="K290" t="n">
        <v>0</v>
      </c>
      <c r="L290" t="n">
        <v>1</v>
      </c>
      <c r="M290" t="n">
        <v>0.29372</v>
      </c>
    </row>
    <row r="291">
      <c r="A291" t="inlineStr">
        <is>
          <t>opt-sgd-lr1</t>
        </is>
      </c>
      <c r="B291" t="n">
        <v>10</v>
      </c>
      <c r="C291" t="n">
        <v>0.341606</v>
      </c>
      <c r="D291" t="n">
        <v>0.8659480000000001</v>
      </c>
      <c r="E291" t="n">
        <v>0.270693</v>
      </c>
      <c r="F291" t="n">
        <v>0.358507</v>
      </c>
      <c r="G291" t="n">
        <v>0.859588</v>
      </c>
      <c r="H291" t="n">
        <v>0.781609</v>
      </c>
      <c r="I291" t="n">
        <v>0.457343</v>
      </c>
      <c r="J291" t="n">
        <v>0.957967</v>
      </c>
      <c r="K291" t="n">
        <v>0</v>
      </c>
      <c r="L291" t="n">
        <v>1</v>
      </c>
      <c r="M291" t="n">
        <v>0.297523</v>
      </c>
    </row>
    <row r="292">
      <c r="A292" t="inlineStr">
        <is>
          <t>opt-sgd-lr1</t>
        </is>
      </c>
      <c r="B292" t="n">
        <v>11</v>
      </c>
      <c r="C292" t="n">
        <v>0.289226</v>
      </c>
      <c r="D292" t="n">
        <v>0.881656</v>
      </c>
      <c r="E292" t="n">
        <v>0.260495</v>
      </c>
      <c r="F292" t="n">
        <v>0.304449</v>
      </c>
      <c r="G292" t="n">
        <v>0.876132</v>
      </c>
      <c r="H292" t="n">
        <v>0.769842</v>
      </c>
      <c r="I292" t="n">
        <v>0.453089</v>
      </c>
      <c r="J292" t="n">
        <v>0.773335</v>
      </c>
      <c r="K292" t="n">
        <v>0</v>
      </c>
      <c r="L292" t="n">
        <v>1</v>
      </c>
      <c r="M292" t="n">
        <v>0.295622</v>
      </c>
    </row>
    <row r="293">
      <c r="A293" t="inlineStr">
        <is>
          <t>opt-sgd-lr1</t>
        </is>
      </c>
      <c r="B293" t="n">
        <v>12</v>
      </c>
      <c r="C293" t="n">
        <v>0.319462</v>
      </c>
      <c r="D293" t="n">
        <v>0.87177</v>
      </c>
      <c r="E293" t="n">
        <v>0.25395</v>
      </c>
      <c r="F293" t="n">
        <v>0.336575</v>
      </c>
      <c r="G293" t="n">
        <v>0.866139</v>
      </c>
      <c r="H293" t="n">
        <v>0.779478</v>
      </c>
      <c r="I293" t="n">
        <v>0.457719</v>
      </c>
      <c r="J293" t="n">
        <v>1.006832</v>
      </c>
      <c r="K293" t="n">
        <v>0</v>
      </c>
      <c r="L293" t="n">
        <v>1</v>
      </c>
      <c r="M293" t="n">
        <v>0.295192</v>
      </c>
    </row>
    <row r="294">
      <c r="A294" t="inlineStr">
        <is>
          <t>opt-sgd-lr1</t>
        </is>
      </c>
      <c r="B294" t="n">
        <v>13</v>
      </c>
      <c r="C294" t="n">
        <v>0.296193</v>
      </c>
      <c r="D294" t="n">
        <v>0.879539</v>
      </c>
      <c r="E294" t="n">
        <v>0.249136</v>
      </c>
      <c r="F294" t="n">
        <v>0.314828</v>
      </c>
      <c r="G294" t="n">
        <v>0.873325</v>
      </c>
      <c r="H294" t="n">
        <v>0.797488</v>
      </c>
      <c r="I294" t="n">
        <v>0.464624</v>
      </c>
      <c r="J294" t="n">
        <v>0.836053</v>
      </c>
      <c r="K294" t="n">
        <v>0</v>
      </c>
      <c r="L294" t="n">
        <v>1</v>
      </c>
      <c r="M294" t="n">
        <v>0.293498</v>
      </c>
    </row>
    <row r="295">
      <c r="A295" t="inlineStr">
        <is>
          <t>opt-sgd-lr1</t>
        </is>
      </c>
      <c r="B295" t="n">
        <v>14</v>
      </c>
      <c r="C295" t="n">
        <v>0.283498</v>
      </c>
      <c r="D295" t="n">
        <v>0.887599</v>
      </c>
      <c r="E295" t="n">
        <v>0.241127</v>
      </c>
      <c r="F295" t="n">
        <v>0.300237</v>
      </c>
      <c r="G295" t="n">
        <v>0.882221</v>
      </c>
      <c r="H295" t="n">
        <v>0.8140540000000001</v>
      </c>
      <c r="I295" t="n">
        <v>0.45851</v>
      </c>
      <c r="J295" t="n">
        <v>0.847465</v>
      </c>
      <c r="K295" t="n">
        <v>0</v>
      </c>
      <c r="L295" t="n">
        <v>1</v>
      </c>
      <c r="M295" t="n">
        <v>0.292664</v>
      </c>
    </row>
    <row r="296">
      <c r="A296" t="inlineStr">
        <is>
          <t>opt-sgd-lr1</t>
        </is>
      </c>
      <c r="B296" t="n">
        <v>15</v>
      </c>
      <c r="C296" t="n">
        <v>0.23426</v>
      </c>
      <c r="D296" t="n">
        <v>0.905442</v>
      </c>
      <c r="E296" t="n">
        <v>0.235429</v>
      </c>
      <c r="F296" t="n">
        <v>0.254837</v>
      </c>
      <c r="G296" t="n">
        <v>0.8985069999999999</v>
      </c>
      <c r="H296" t="n">
        <v>0.823193</v>
      </c>
      <c r="I296" t="n">
        <v>0.45871</v>
      </c>
      <c r="J296" t="n">
        <v>0.657308</v>
      </c>
      <c r="K296" t="n">
        <v>0</v>
      </c>
      <c r="L296" t="n">
        <v>1</v>
      </c>
      <c r="M296" t="n">
        <v>0.305061</v>
      </c>
    </row>
    <row r="297">
      <c r="A297" t="inlineStr">
        <is>
          <t>opt-sgd-lr1</t>
        </is>
      </c>
      <c r="B297" t="n">
        <v>16</v>
      </c>
      <c r="C297" t="n">
        <v>0.254381</v>
      </c>
      <c r="D297" t="n">
        <v>0.896995</v>
      </c>
      <c r="E297" t="n">
        <v>0.231338</v>
      </c>
      <c r="F297" t="n">
        <v>0.273047</v>
      </c>
      <c r="G297" t="n">
        <v>0.890945</v>
      </c>
      <c r="H297" t="n">
        <v>0.8162</v>
      </c>
      <c r="I297" t="n">
        <v>0.458932</v>
      </c>
      <c r="J297" t="n">
        <v>0.735389</v>
      </c>
      <c r="K297" t="n">
        <v>0</v>
      </c>
      <c r="L297" t="n">
        <v>1</v>
      </c>
      <c r="M297" t="n">
        <v>0.292215</v>
      </c>
    </row>
    <row r="298">
      <c r="A298" t="inlineStr">
        <is>
          <t>opt-sgd-lr1</t>
        </is>
      </c>
      <c r="B298" t="n">
        <v>17</v>
      </c>
      <c r="C298" t="n">
        <v>0.277395</v>
      </c>
      <c r="D298" t="n">
        <v>0.887653</v>
      </c>
      <c r="E298" t="n">
        <v>0.226362</v>
      </c>
      <c r="F298" t="n">
        <v>0.29737</v>
      </c>
      <c r="G298" t="n">
        <v>0.881521</v>
      </c>
      <c r="H298" t="n">
        <v>0.811774</v>
      </c>
      <c r="I298" t="n">
        <v>0.459937</v>
      </c>
      <c r="J298" t="n">
        <v>0.993133</v>
      </c>
      <c r="K298" t="n">
        <v>0</v>
      </c>
      <c r="L298" t="n">
        <v>1</v>
      </c>
      <c r="M298" t="n">
        <v>0.290607</v>
      </c>
    </row>
    <row r="299">
      <c r="A299" t="inlineStr">
        <is>
          <t>opt-sgd-lr1</t>
        </is>
      </c>
      <c r="B299" t="n">
        <v>18</v>
      </c>
      <c r="C299" t="n">
        <v>0.314313</v>
      </c>
      <c r="D299" t="n">
        <v>0.883092</v>
      </c>
      <c r="E299" t="n">
        <v>0.221623</v>
      </c>
      <c r="F299" t="n">
        <v>0.33397</v>
      </c>
      <c r="G299" t="n">
        <v>0.876487</v>
      </c>
      <c r="H299" t="n">
        <v>0.819779</v>
      </c>
      <c r="I299" t="n">
        <v>0.457942</v>
      </c>
      <c r="J299" t="n">
        <v>0.931203</v>
      </c>
      <c r="K299" t="n">
        <v>0</v>
      </c>
      <c r="L299" t="n">
        <v>1</v>
      </c>
      <c r="M299" t="n">
        <v>0.298578</v>
      </c>
    </row>
    <row r="300">
      <c r="A300" t="inlineStr">
        <is>
          <t>opt-sgd-lr1</t>
        </is>
      </c>
      <c r="B300" t="n">
        <v>19</v>
      </c>
      <c r="C300" t="n">
        <v>0.261022</v>
      </c>
      <c r="D300" t="n">
        <v>0.896554</v>
      </c>
      <c r="E300" t="n">
        <v>0.217506</v>
      </c>
      <c r="F300" t="n">
        <v>0.281798</v>
      </c>
      <c r="G300" t="n">
        <v>0.888729</v>
      </c>
      <c r="H300" t="n">
        <v>0.807304</v>
      </c>
      <c r="I300" t="n">
        <v>0.458156</v>
      </c>
      <c r="J300" t="n">
        <v>0.795601</v>
      </c>
      <c r="K300" t="n">
        <v>0</v>
      </c>
      <c r="L300" t="n">
        <v>1</v>
      </c>
      <c r="M300" t="n">
        <v>0.300417</v>
      </c>
    </row>
    <row r="301">
      <c r="A301" t="inlineStr">
        <is>
          <t>opt-sgd-lr1</t>
        </is>
      </c>
      <c r="B301" t="n">
        <v>20</v>
      </c>
      <c r="C301" t="n">
        <v>0.269583</v>
      </c>
      <c r="D301" t="n">
        <v>0.890848</v>
      </c>
      <c r="E301" t="n">
        <v>0.212778</v>
      </c>
      <c r="F301" t="n">
        <v>0.291555</v>
      </c>
      <c r="G301" t="n">
        <v>0.884157</v>
      </c>
      <c r="H301" t="n">
        <v>0.800387</v>
      </c>
      <c r="I301" t="n">
        <v>0.453176</v>
      </c>
      <c r="J301" t="n">
        <v>0.792795</v>
      </c>
      <c r="K301" t="n">
        <v>0</v>
      </c>
      <c r="L301" t="n">
        <v>1</v>
      </c>
      <c r="M301" t="n">
        <v>0.299537</v>
      </c>
    </row>
    <row r="302">
      <c r="A302" t="inlineStr">
        <is>
          <t>opt-adam-lr0.0003</t>
        </is>
      </c>
      <c r="B302" t="n">
        <v>1</v>
      </c>
      <c r="C302" t="n">
        <v>0.564401</v>
      </c>
      <c r="D302" t="n">
        <v>0.761612</v>
      </c>
      <c r="E302" t="n">
        <v>0.687398</v>
      </c>
      <c r="F302" t="n">
        <v>0.568153</v>
      </c>
      <c r="G302" t="n">
        <v>0.759827</v>
      </c>
      <c r="H302" t="n">
        <v>0.547437</v>
      </c>
      <c r="I302" t="n">
        <v>0.479646</v>
      </c>
      <c r="J302" t="n">
        <v>2.871076</v>
      </c>
      <c r="K302" t="n">
        <v>0</v>
      </c>
      <c r="L302" t="n">
        <v>0.0003</v>
      </c>
      <c r="M302" t="n">
        <v>0.47997</v>
      </c>
    </row>
    <row r="303">
      <c r="A303" t="inlineStr">
        <is>
          <t>opt-adam-lr0.0003</t>
        </is>
      </c>
      <c r="B303" t="n">
        <v>2</v>
      </c>
      <c r="C303" t="n">
        <v>0.509901</v>
      </c>
      <c r="D303" t="n">
        <v>0.784605</v>
      </c>
      <c r="E303" t="n">
        <v>0.536807</v>
      </c>
      <c r="F303" t="n">
        <v>0.51435</v>
      </c>
      <c r="G303" t="n">
        <v>0.782481</v>
      </c>
      <c r="H303" t="n">
        <v>0.628126</v>
      </c>
      <c r="I303" t="n">
        <v>0.51746</v>
      </c>
      <c r="J303" t="n">
        <v>1.205693</v>
      </c>
      <c r="K303" t="n">
        <v>0</v>
      </c>
      <c r="L303" t="n">
        <v>0.0003</v>
      </c>
      <c r="M303" t="n">
        <v>0.504157</v>
      </c>
    </row>
    <row r="304">
      <c r="A304" t="inlineStr">
        <is>
          <t>opt-adam-lr0.0003</t>
        </is>
      </c>
      <c r="B304" t="n">
        <v>3</v>
      </c>
      <c r="C304" t="n">
        <v>0.473594</v>
      </c>
      <c r="D304" t="n">
        <v>0.801682</v>
      </c>
      <c r="E304" t="n">
        <v>0.49238</v>
      </c>
      <c r="F304" t="n">
        <v>0.478762</v>
      </c>
      <c r="G304" t="n">
        <v>0.797724</v>
      </c>
      <c r="H304" t="n">
        <v>0.631072</v>
      </c>
      <c r="I304" t="n">
        <v>0.564271</v>
      </c>
      <c r="J304" t="n">
        <v>1.245861</v>
      </c>
      <c r="K304" t="n">
        <v>0</v>
      </c>
      <c r="L304" t="n">
        <v>0.0003</v>
      </c>
      <c r="M304" t="n">
        <v>0.486799</v>
      </c>
    </row>
    <row r="305">
      <c r="A305" t="inlineStr">
        <is>
          <t>opt-adam-lr0.0003</t>
        </is>
      </c>
      <c r="B305" t="n">
        <v>4</v>
      </c>
      <c r="C305" t="n">
        <v>0.44654</v>
      </c>
      <c r="D305" t="n">
        <v>0.8140849999999999</v>
      </c>
      <c r="E305" t="n">
        <v>0.461117</v>
      </c>
      <c r="F305" t="n">
        <v>0.452638</v>
      </c>
      <c r="G305" t="n">
        <v>0.809159</v>
      </c>
      <c r="H305" t="n">
        <v>0.666234</v>
      </c>
      <c r="I305" t="n">
        <v>0.606784</v>
      </c>
      <c r="J305" t="n">
        <v>1.335139</v>
      </c>
      <c r="K305" t="n">
        <v>0</v>
      </c>
      <c r="L305" t="n">
        <v>0.0003</v>
      </c>
      <c r="M305" t="n">
        <v>0.488967</v>
      </c>
    </row>
    <row r="306">
      <c r="A306" t="inlineStr">
        <is>
          <t>opt-adam-lr0.0003</t>
        </is>
      </c>
      <c r="B306" t="n">
        <v>5</v>
      </c>
      <c r="C306" t="n">
        <v>0.426131</v>
      </c>
      <c r="D306" t="n">
        <v>0.82318</v>
      </c>
      <c r="E306" t="n">
        <v>0.437514</v>
      </c>
      <c r="F306" t="n">
        <v>0.432582</v>
      </c>
      <c r="G306" t="n">
        <v>0.818926</v>
      </c>
      <c r="H306" t="n">
        <v>0.663236</v>
      </c>
      <c r="I306" t="n">
        <v>0.64455</v>
      </c>
      <c r="J306" t="n">
        <v>1.463048</v>
      </c>
      <c r="K306" t="n">
        <v>0</v>
      </c>
      <c r="L306" t="n">
        <v>0.0003</v>
      </c>
      <c r="M306" t="n">
        <v>0.49611</v>
      </c>
    </row>
    <row r="307">
      <c r="A307" t="inlineStr">
        <is>
          <t>opt-adam-lr0.0003</t>
        </is>
      </c>
      <c r="B307" t="n">
        <v>6</v>
      </c>
      <c r="C307" t="n">
        <v>0.409901</v>
      </c>
      <c r="D307" t="n">
        <v>0.830186</v>
      </c>
      <c r="E307" t="n">
        <v>0.418515</v>
      </c>
      <c r="F307" t="n">
        <v>0.417588</v>
      </c>
      <c r="G307" t="n">
        <v>0.82538</v>
      </c>
      <c r="H307" t="n">
        <v>0.69977</v>
      </c>
      <c r="I307" t="n">
        <v>0.684477</v>
      </c>
      <c r="J307" t="n">
        <v>1.561726</v>
      </c>
      <c r="K307" t="n">
        <v>0</v>
      </c>
      <c r="L307" t="n">
        <v>0.0003</v>
      </c>
      <c r="M307" t="n">
        <v>0.511624</v>
      </c>
    </row>
    <row r="308">
      <c r="A308" t="inlineStr">
        <is>
          <t>opt-adam-lr0.0003</t>
        </is>
      </c>
      <c r="B308" t="n">
        <v>7</v>
      </c>
      <c r="C308" t="n">
        <v>0.393505</v>
      </c>
      <c r="D308" t="n">
        <v>0.837629</v>
      </c>
      <c r="E308" t="n">
        <v>0.402944</v>
      </c>
      <c r="F308" t="n">
        <v>0.401674</v>
      </c>
      <c r="G308" t="n">
        <v>0.832448</v>
      </c>
      <c r="H308" t="n">
        <v>0.714161</v>
      </c>
      <c r="I308" t="n">
        <v>0.724695</v>
      </c>
      <c r="J308" t="n">
        <v>1.638627</v>
      </c>
      <c r="K308" t="n">
        <v>0</v>
      </c>
      <c r="L308" t="n">
        <v>0.0003</v>
      </c>
      <c r="M308" t="n">
        <v>0.492226</v>
      </c>
    </row>
    <row r="309">
      <c r="A309" t="inlineStr">
        <is>
          <t>opt-adam-lr0.0003</t>
        </is>
      </c>
      <c r="B309" t="n">
        <v>8</v>
      </c>
      <c r="C309" t="n">
        <v>0.384184</v>
      </c>
      <c r="D309" t="n">
        <v>0.840483</v>
      </c>
      <c r="E309" t="n">
        <v>0.389956</v>
      </c>
      <c r="F309" t="n">
        <v>0.392321</v>
      </c>
      <c r="G309" t="n">
        <v>0.835331</v>
      </c>
      <c r="H309" t="n">
        <v>0.705844</v>
      </c>
      <c r="I309" t="n">
        <v>0.747939</v>
      </c>
      <c r="J309" t="n">
        <v>1.662102</v>
      </c>
      <c r="K309" t="n">
        <v>0</v>
      </c>
      <c r="L309" t="n">
        <v>0.0003</v>
      </c>
      <c r="M309" t="n">
        <v>0.492139</v>
      </c>
    </row>
    <row r="310">
      <c r="A310" t="inlineStr">
        <is>
          <t>opt-adam-lr0.0003</t>
        </is>
      </c>
      <c r="B310" t="n">
        <v>9</v>
      </c>
      <c r="C310" t="n">
        <v>0.370417</v>
      </c>
      <c r="D310" t="n">
        <v>0.8479910000000001</v>
      </c>
      <c r="E310" t="n">
        <v>0.378298</v>
      </c>
      <c r="F310" t="n">
        <v>0.379563</v>
      </c>
      <c r="G310" t="n">
        <v>0.842409</v>
      </c>
      <c r="H310" t="n">
        <v>0.719232</v>
      </c>
      <c r="I310" t="n">
        <v>0.792783</v>
      </c>
      <c r="J310" t="n">
        <v>1.997693</v>
      </c>
      <c r="K310" t="n">
        <v>0</v>
      </c>
      <c r="L310" t="n">
        <v>0.0003</v>
      </c>
      <c r="M310" t="n">
        <v>0.491966</v>
      </c>
    </row>
    <row r="311">
      <c r="A311" t="inlineStr">
        <is>
          <t>opt-adam-lr0.0003</t>
        </is>
      </c>
      <c r="B311" t="n">
        <v>10</v>
      </c>
      <c r="C311" t="n">
        <v>0.360243</v>
      </c>
      <c r="D311" t="n">
        <v>0.853125</v>
      </c>
      <c r="E311" t="n">
        <v>0.368008</v>
      </c>
      <c r="F311" t="n">
        <v>0.368924</v>
      </c>
      <c r="G311" t="n">
        <v>0.848175</v>
      </c>
      <c r="H311" t="n">
        <v>0.745968</v>
      </c>
      <c r="I311" t="n">
        <v>0.823705</v>
      </c>
      <c r="J311" t="n">
        <v>1.868024</v>
      </c>
      <c r="K311" t="n">
        <v>0</v>
      </c>
      <c r="L311" t="n">
        <v>0.0003</v>
      </c>
      <c r="M311" t="n">
        <v>0.488421</v>
      </c>
    </row>
    <row r="312">
      <c r="A312" t="inlineStr">
        <is>
          <t>opt-adam-lr0.0003</t>
        </is>
      </c>
      <c r="B312" t="n">
        <v>11</v>
      </c>
      <c r="C312" t="n">
        <v>0.352266</v>
      </c>
      <c r="D312" t="n">
        <v>0.856613</v>
      </c>
      <c r="E312" t="n">
        <v>0.358371</v>
      </c>
      <c r="F312" t="n">
        <v>0.361267</v>
      </c>
      <c r="G312" t="n">
        <v>0.8514119999999999</v>
      </c>
      <c r="H312" t="n">
        <v>0.740907</v>
      </c>
      <c r="I312" t="n">
        <v>0.821394</v>
      </c>
      <c r="J312" t="n">
        <v>1.716594</v>
      </c>
      <c r="K312" t="n">
        <v>0</v>
      </c>
      <c r="L312" t="n">
        <v>0.0003</v>
      </c>
      <c r="M312" t="n">
        <v>0.478258</v>
      </c>
    </row>
    <row r="313">
      <c r="A313" t="inlineStr">
        <is>
          <t>opt-adam-lr0.0003</t>
        </is>
      </c>
      <c r="B313" t="n">
        <v>12</v>
      </c>
      <c r="C313" t="n">
        <v>0.34382</v>
      </c>
      <c r="D313" t="n">
        <v>0.859921</v>
      </c>
      <c r="E313" t="n">
        <v>0.350267</v>
      </c>
      <c r="F313" t="n">
        <v>0.353758</v>
      </c>
      <c r="G313" t="n">
        <v>0.85436</v>
      </c>
      <c r="H313" t="n">
        <v>0.747073</v>
      </c>
      <c r="I313" t="n">
        <v>0.84041</v>
      </c>
      <c r="J313" t="n">
        <v>2.818269</v>
      </c>
      <c r="K313" t="n">
        <v>0</v>
      </c>
      <c r="L313" t="n">
        <v>0.0003</v>
      </c>
      <c r="M313" t="n">
        <v>0.524169</v>
      </c>
    </row>
    <row r="314">
      <c r="A314" t="inlineStr">
        <is>
          <t>opt-adam-lr0.0003</t>
        </is>
      </c>
      <c r="B314" t="n">
        <v>13</v>
      </c>
      <c r="C314" t="n">
        <v>0.337643</v>
      </c>
      <c r="D314" t="n">
        <v>0.862852</v>
      </c>
      <c r="E314" t="n">
        <v>0.343133</v>
      </c>
      <c r="F314" t="n">
        <v>0.347596</v>
      </c>
      <c r="G314" t="n">
        <v>0.856662</v>
      </c>
      <c r="H314" t="n">
        <v>0.76222</v>
      </c>
      <c r="I314" t="n">
        <v>0.883896</v>
      </c>
      <c r="J314" t="n">
        <v>2.174795</v>
      </c>
      <c r="K314" t="n">
        <v>0</v>
      </c>
      <c r="L314" t="n">
        <v>0.0003</v>
      </c>
      <c r="M314" t="n">
        <v>0.483423</v>
      </c>
    </row>
    <row r="315">
      <c r="A315" t="inlineStr">
        <is>
          <t>opt-adam-lr0.0003</t>
        </is>
      </c>
      <c r="B315" t="n">
        <v>14</v>
      </c>
      <c r="C315" t="n">
        <v>0.333368</v>
      </c>
      <c r="D315" t="n">
        <v>0.864186</v>
      </c>
      <c r="E315" t="n">
        <v>0.33592</v>
      </c>
      <c r="F315" t="n">
        <v>0.343541</v>
      </c>
      <c r="G315" t="n">
        <v>0.857738</v>
      </c>
      <c r="H315" t="n">
        <v>0.755661</v>
      </c>
      <c r="I315" t="n">
        <v>0.88356</v>
      </c>
      <c r="J315" t="n">
        <v>2.027844</v>
      </c>
      <c r="K315" t="n">
        <v>0</v>
      </c>
      <c r="L315" t="n">
        <v>0.0003</v>
      </c>
      <c r="M315" t="n">
        <v>0.48361</v>
      </c>
    </row>
    <row r="316">
      <c r="A316" t="inlineStr">
        <is>
          <t>opt-adam-lr0.0003</t>
        </is>
      </c>
      <c r="B316" t="n">
        <v>15</v>
      </c>
      <c r="C316" t="n">
        <v>0.326494</v>
      </c>
      <c r="D316" t="n">
        <v>0.867432</v>
      </c>
      <c r="E316" t="n">
        <v>0.330162</v>
      </c>
      <c r="F316" t="n">
        <v>0.336678</v>
      </c>
      <c r="G316" t="n">
        <v>0.862223</v>
      </c>
      <c r="H316" t="n">
        <v>0.76571</v>
      </c>
      <c r="I316" t="n">
        <v>0.924943</v>
      </c>
      <c r="J316" t="n">
        <v>2.413665</v>
      </c>
      <c r="K316" t="n">
        <v>0</v>
      </c>
      <c r="L316" t="n">
        <v>0.0003</v>
      </c>
      <c r="M316" t="n">
        <v>0.485573</v>
      </c>
    </row>
    <row r="317">
      <c r="A317" t="inlineStr">
        <is>
          <t>opt-adam-lr0.0003</t>
        </is>
      </c>
      <c r="B317" t="n">
        <v>16</v>
      </c>
      <c r="C317" t="n">
        <v>0.316182</v>
      </c>
      <c r="D317" t="n">
        <v>0.872773</v>
      </c>
      <c r="E317" t="n">
        <v>0.324174</v>
      </c>
      <c r="F317" t="n">
        <v>0.327008</v>
      </c>
      <c r="G317" t="n">
        <v>0.866376</v>
      </c>
      <c r="H317" t="n">
        <v>0.772919</v>
      </c>
      <c r="I317" t="n">
        <v>0.948979</v>
      </c>
      <c r="J317" t="n">
        <v>1.929314</v>
      </c>
      <c r="K317" t="n">
        <v>0</v>
      </c>
      <c r="L317" t="n">
        <v>0.0003</v>
      </c>
      <c r="M317" t="n">
        <v>0.478483</v>
      </c>
    </row>
    <row r="318">
      <c r="A318" t="inlineStr">
        <is>
          <t>opt-adam-lr0.0003</t>
        </is>
      </c>
      <c r="B318" t="n">
        <v>17</v>
      </c>
      <c r="C318" t="n">
        <v>0.315938</v>
      </c>
      <c r="D318" t="n">
        <v>0.8725309999999999</v>
      </c>
      <c r="E318" t="n">
        <v>0.318639</v>
      </c>
      <c r="F318" t="n">
        <v>0.326976</v>
      </c>
      <c r="G318" t="n">
        <v>0.866784</v>
      </c>
      <c r="H318" t="n">
        <v>0.770374</v>
      </c>
      <c r="I318" t="n">
        <v>0.965804</v>
      </c>
      <c r="J318" t="n">
        <v>2.158507</v>
      </c>
      <c r="K318" t="n">
        <v>0</v>
      </c>
      <c r="L318" t="n">
        <v>0.0003</v>
      </c>
      <c r="M318" t="n">
        <v>0.479238</v>
      </c>
    </row>
    <row r="319">
      <c r="A319" t="inlineStr">
        <is>
          <t>opt-adam-lr0.0003</t>
        </is>
      </c>
      <c r="B319" t="n">
        <v>18</v>
      </c>
      <c r="C319" t="n">
        <v>0.306296</v>
      </c>
      <c r="D319" t="n">
        <v>0.8782990000000001</v>
      </c>
      <c r="E319" t="n">
        <v>0.313983</v>
      </c>
      <c r="F319" t="n">
        <v>0.318195</v>
      </c>
      <c r="G319" t="n">
        <v>0.871517</v>
      </c>
      <c r="H319" t="n">
        <v>0.786904</v>
      </c>
      <c r="I319" t="n">
        <v>0.9801299999999999</v>
      </c>
      <c r="J319" t="n">
        <v>2.316924</v>
      </c>
      <c r="K319" t="n">
        <v>0</v>
      </c>
      <c r="L319" t="n">
        <v>0.0003</v>
      </c>
      <c r="M319" t="n">
        <v>0.482662</v>
      </c>
    </row>
    <row r="320">
      <c r="A320" t="inlineStr">
        <is>
          <t>opt-adam-lr0.0003</t>
        </is>
      </c>
      <c r="B320" t="n">
        <v>19</v>
      </c>
      <c r="C320" t="n">
        <v>0.309832</v>
      </c>
      <c r="D320" t="n">
        <v>0.873795</v>
      </c>
      <c r="E320" t="n">
        <v>0.308976</v>
      </c>
      <c r="F320" t="n">
        <v>0.321612</v>
      </c>
      <c r="G320" t="n">
        <v>0.868204</v>
      </c>
      <c r="H320" t="n">
        <v>0.781639</v>
      </c>
      <c r="I320" t="n">
        <v>0.983743</v>
      </c>
      <c r="J320" t="n">
        <v>2.71627</v>
      </c>
      <c r="K320" t="n">
        <v>0</v>
      </c>
      <c r="L320" t="n">
        <v>0.0003</v>
      </c>
      <c r="M320" t="n">
        <v>0.479997</v>
      </c>
    </row>
    <row r="321">
      <c r="A321" t="inlineStr">
        <is>
          <t>opt-adam-lr0.0003</t>
        </is>
      </c>
      <c r="B321" t="n">
        <v>20</v>
      </c>
      <c r="C321" t="n">
        <v>0.296904</v>
      </c>
      <c r="D321" t="n">
        <v>0.882538</v>
      </c>
      <c r="E321" t="n">
        <v>0.304313</v>
      </c>
      <c r="F321" t="n">
        <v>0.308554</v>
      </c>
      <c r="G321" t="n">
        <v>0.876498</v>
      </c>
      <c r="H321" t="n">
        <v>0.796011</v>
      </c>
      <c r="I321" t="n">
        <v>0.990857</v>
      </c>
      <c r="J321" t="n">
        <v>1.978244</v>
      </c>
      <c r="K321" t="n">
        <v>0</v>
      </c>
      <c r="L321" t="n">
        <v>0.0003</v>
      </c>
      <c r="M321" t="n">
        <v>0.495366</v>
      </c>
    </row>
    <row r="322">
      <c r="A322" t="inlineStr">
        <is>
          <t>opt-adam-lr0.001</t>
        </is>
      </c>
      <c r="B322" t="n">
        <v>1</v>
      </c>
      <c r="C322" t="n">
        <v>0.485969</v>
      </c>
      <c r="D322" t="n">
        <v>0.794265</v>
      </c>
      <c r="E322" t="n">
        <v>0.585313</v>
      </c>
      <c r="F322" t="n">
        <v>0.489528</v>
      </c>
      <c r="G322" t="n">
        <v>0.791721</v>
      </c>
      <c r="H322" t="n">
        <v>0.619699</v>
      </c>
      <c r="I322" t="n">
        <v>0.567713</v>
      </c>
      <c r="J322" t="n">
        <v>2.871076</v>
      </c>
      <c r="K322" t="n">
        <v>0</v>
      </c>
      <c r="L322" t="n">
        <v>0.001</v>
      </c>
      <c r="M322" t="n">
        <v>0.470777</v>
      </c>
    </row>
    <row r="323">
      <c r="A323" t="inlineStr">
        <is>
          <t>opt-adam-lr0.001</t>
        </is>
      </c>
      <c r="B323" t="n">
        <v>2</v>
      </c>
      <c r="C323" t="n">
        <v>0.419094</v>
      </c>
      <c r="D323" t="n">
        <v>0.826577</v>
      </c>
      <c r="E323" t="n">
        <v>0.454343</v>
      </c>
      <c r="F323" t="n">
        <v>0.425198</v>
      </c>
      <c r="G323" t="n">
        <v>0.822777</v>
      </c>
      <c r="H323" t="n">
        <v>0.706143</v>
      </c>
      <c r="I323" t="n">
        <v>0.676234</v>
      </c>
      <c r="J323" t="n">
        <v>1.648116</v>
      </c>
      <c r="K323" t="n">
        <v>0</v>
      </c>
      <c r="L323" t="n">
        <v>0.001</v>
      </c>
      <c r="M323" t="n">
        <v>0.478017</v>
      </c>
    </row>
    <row r="324">
      <c r="A324" t="inlineStr">
        <is>
          <t>opt-adam-lr0.001</t>
        </is>
      </c>
      <c r="B324" t="n">
        <v>3</v>
      </c>
      <c r="C324" t="n">
        <v>0.381922</v>
      </c>
      <c r="D324" t="n">
        <v>0.8415049999999999</v>
      </c>
      <c r="E324" t="n">
        <v>0.403189</v>
      </c>
      <c r="F324" t="n">
        <v>0.389793</v>
      </c>
      <c r="G324" t="n">
        <v>0.83831</v>
      </c>
      <c r="H324" t="n">
        <v>0.710255</v>
      </c>
      <c r="I324" t="n">
        <v>0.709974</v>
      </c>
      <c r="J324" t="n">
        <v>1.757636</v>
      </c>
      <c r="K324" t="n">
        <v>0</v>
      </c>
      <c r="L324" t="n">
        <v>0.001</v>
      </c>
      <c r="M324" t="n">
        <v>0.477404</v>
      </c>
    </row>
    <row r="325">
      <c r="A325" t="inlineStr">
        <is>
          <t>opt-adam-lr0.001</t>
        </is>
      </c>
      <c r="B325" t="n">
        <v>4</v>
      </c>
      <c r="C325" t="n">
        <v>0.362729</v>
      </c>
      <c r="D325" t="n">
        <v>0.849532</v>
      </c>
      <c r="E325" t="n">
        <v>0.371235</v>
      </c>
      <c r="F325" t="n">
        <v>0.371244</v>
      </c>
      <c r="G325" t="n">
        <v>0.845044</v>
      </c>
      <c r="H325" t="n">
        <v>0.747391</v>
      </c>
      <c r="I325" t="n">
        <v>0.811732</v>
      </c>
      <c r="J325" t="n">
        <v>2.035538</v>
      </c>
      <c r="K325" t="n">
        <v>0</v>
      </c>
      <c r="L325" t="n">
        <v>0.001</v>
      </c>
      <c r="M325" t="n">
        <v>0.502564</v>
      </c>
    </row>
    <row r="326">
      <c r="A326" t="inlineStr">
        <is>
          <t>opt-adam-lr0.001</t>
        </is>
      </c>
      <c r="B326" t="n">
        <v>5</v>
      </c>
      <c r="C326" t="n">
        <v>0.334105</v>
      </c>
      <c r="D326" t="n">
        <v>0.863121</v>
      </c>
      <c r="E326" t="n">
        <v>0.347779</v>
      </c>
      <c r="F326" t="n">
        <v>0.34382</v>
      </c>
      <c r="G326" t="n">
        <v>0.857963</v>
      </c>
      <c r="H326" t="n">
        <v>0.740429</v>
      </c>
      <c r="I326" t="n">
        <v>0.8216599999999999</v>
      </c>
      <c r="J326" t="n">
        <v>2.00464</v>
      </c>
      <c r="K326" t="n">
        <v>0</v>
      </c>
      <c r="L326" t="n">
        <v>0.001</v>
      </c>
      <c r="M326" t="n">
        <v>0.480184</v>
      </c>
    </row>
    <row r="327">
      <c r="A327" t="inlineStr">
        <is>
          <t>opt-adam-lr0.001</t>
        </is>
      </c>
      <c r="B327" t="n">
        <v>6</v>
      </c>
      <c r="C327" t="n">
        <v>0.337657</v>
      </c>
      <c r="D327" t="n">
        <v>0.8610719999999999</v>
      </c>
      <c r="E327" t="n">
        <v>0.331262</v>
      </c>
      <c r="F327" t="n">
        <v>0.347434</v>
      </c>
      <c r="G327" t="n">
        <v>0.8562419999999999</v>
      </c>
      <c r="H327" t="n">
        <v>0.778573</v>
      </c>
      <c r="I327" t="n">
        <v>0.890909</v>
      </c>
      <c r="J327" t="n">
        <v>2.284726</v>
      </c>
      <c r="K327" t="n">
        <v>0</v>
      </c>
      <c r="L327" t="n">
        <v>0.001</v>
      </c>
      <c r="M327" t="n">
        <v>0.478491</v>
      </c>
    </row>
    <row r="328">
      <c r="A328" t="inlineStr">
        <is>
          <t>opt-adam-lr0.001</t>
        </is>
      </c>
      <c r="B328" t="n">
        <v>7</v>
      </c>
      <c r="C328" t="n">
        <v>0.304364</v>
      </c>
      <c r="D328" t="n">
        <v>0.875166</v>
      </c>
      <c r="E328" t="n">
        <v>0.314798</v>
      </c>
      <c r="F328" t="n">
        <v>0.31656</v>
      </c>
      <c r="G328" t="n">
        <v>0.869527</v>
      </c>
      <c r="H328" t="n">
        <v>0.7879389999999999</v>
      </c>
      <c r="I328" t="n">
        <v>0.869105</v>
      </c>
      <c r="J328" t="n">
        <v>2.247894</v>
      </c>
      <c r="K328" t="n">
        <v>0</v>
      </c>
      <c r="L328" t="n">
        <v>0.001</v>
      </c>
      <c r="M328" t="n">
        <v>0.482259</v>
      </c>
    </row>
    <row r="329">
      <c r="A329" t="inlineStr">
        <is>
          <t>opt-adam-lr0.001</t>
        </is>
      </c>
      <c r="B329" t="n">
        <v>8</v>
      </c>
      <c r="C329" t="n">
        <v>0.293638</v>
      </c>
      <c r="D329" t="n">
        <v>0.880806</v>
      </c>
      <c r="E329" t="n">
        <v>0.303336</v>
      </c>
      <c r="F329" t="n">
        <v>0.305545</v>
      </c>
      <c r="G329" t="n">
        <v>0.874411</v>
      </c>
      <c r="H329" t="n">
        <v>0.796051</v>
      </c>
      <c r="I329" t="n">
        <v>0.882796</v>
      </c>
      <c r="J329" t="n">
        <v>2.515214</v>
      </c>
      <c r="K329" t="n">
        <v>0</v>
      </c>
      <c r="L329" t="n">
        <v>0.001</v>
      </c>
      <c r="M329" t="n">
        <v>0.485628</v>
      </c>
    </row>
    <row r="330">
      <c r="A330" t="inlineStr">
        <is>
          <t>opt-adam-lr0.001</t>
        </is>
      </c>
      <c r="B330" t="n">
        <v>9</v>
      </c>
      <c r="C330" t="n">
        <v>0.280188</v>
      </c>
      <c r="D330" t="n">
        <v>0.886529</v>
      </c>
      <c r="E330" t="n">
        <v>0.292319</v>
      </c>
      <c r="F330" t="n">
        <v>0.29301</v>
      </c>
      <c r="G330" t="n">
        <v>0.880661</v>
      </c>
      <c r="H330" t="n">
        <v>0.794404</v>
      </c>
      <c r="I330" t="n">
        <v>0.942366</v>
      </c>
      <c r="J330" t="n">
        <v>1.998262</v>
      </c>
      <c r="K330" t="n">
        <v>0</v>
      </c>
      <c r="L330" t="n">
        <v>0.001</v>
      </c>
      <c r="M330" t="n">
        <v>0.482979</v>
      </c>
    </row>
    <row r="331">
      <c r="A331" t="inlineStr">
        <is>
          <t>opt-adam-lr0.001</t>
        </is>
      </c>
      <c r="B331" t="n">
        <v>10</v>
      </c>
      <c r="C331" t="n">
        <v>0.27877</v>
      </c>
      <c r="D331" t="n">
        <v>0.886714</v>
      </c>
      <c r="E331" t="n">
        <v>0.28354</v>
      </c>
      <c r="F331" t="n">
        <v>0.292492</v>
      </c>
      <c r="G331" t="n">
        <v>0.880263</v>
      </c>
      <c r="H331" t="n">
        <v>0.807837</v>
      </c>
      <c r="I331" t="n">
        <v>0.951836</v>
      </c>
      <c r="J331" t="n">
        <v>2.0277</v>
      </c>
      <c r="K331" t="n">
        <v>0</v>
      </c>
      <c r="L331" t="n">
        <v>0.001</v>
      </c>
      <c r="M331" t="n">
        <v>0.483114</v>
      </c>
    </row>
    <row r="332">
      <c r="A332" t="inlineStr">
        <is>
          <t>opt-adam-lr0.001</t>
        </is>
      </c>
      <c r="B332" t="n">
        <v>11</v>
      </c>
      <c r="C332" t="n">
        <v>0.265332</v>
      </c>
      <c r="D332" t="n">
        <v>0.893176</v>
      </c>
      <c r="E332" t="n">
        <v>0.27406</v>
      </c>
      <c r="F332" t="n">
        <v>0.278537</v>
      </c>
      <c r="G332" t="n">
        <v>0.887642</v>
      </c>
      <c r="H332" t="n">
        <v>0.808029</v>
      </c>
      <c r="I332" t="n">
        <v>0.934862</v>
      </c>
      <c r="J332" t="n">
        <v>1.934136</v>
      </c>
      <c r="K332" t="n">
        <v>0</v>
      </c>
      <c r="L332" t="n">
        <v>0.001</v>
      </c>
      <c r="M332" t="n">
        <v>0.479057</v>
      </c>
    </row>
    <row r="333">
      <c r="A333" t="inlineStr">
        <is>
          <t>opt-adam-lr0.001</t>
        </is>
      </c>
      <c r="B333" t="n">
        <v>12</v>
      </c>
      <c r="C333" t="n">
        <v>0.264312</v>
      </c>
      <c r="D333" t="n">
        <v>0.892499</v>
      </c>
      <c r="E333" t="n">
        <v>0.266878</v>
      </c>
      <c r="F333" t="n">
        <v>0.279645</v>
      </c>
      <c r="G333" t="n">
        <v>0.886416</v>
      </c>
      <c r="H333" t="n">
        <v>0.808113</v>
      </c>
      <c r="I333" t="n">
        <v>0.967459</v>
      </c>
      <c r="J333" t="n">
        <v>2.719152</v>
      </c>
      <c r="K333" t="n">
        <v>0</v>
      </c>
      <c r="L333" t="n">
        <v>0.001</v>
      </c>
      <c r="M333" t="n">
        <v>0.476678</v>
      </c>
    </row>
    <row r="334">
      <c r="A334" t="inlineStr">
        <is>
          <t>opt-adam-lr0.001</t>
        </is>
      </c>
      <c r="B334" t="n">
        <v>13</v>
      </c>
      <c r="C334" t="n">
        <v>0.259492</v>
      </c>
      <c r="D334" t="n">
        <v>0.895715</v>
      </c>
      <c r="E334" t="n">
        <v>0.261218</v>
      </c>
      <c r="F334" t="n">
        <v>0.275512</v>
      </c>
      <c r="G334" t="n">
        <v>0.888395</v>
      </c>
      <c r="H334" t="n">
        <v>0.827497</v>
      </c>
      <c r="I334" t="n">
        <v>1.00399</v>
      </c>
      <c r="J334" t="n">
        <v>2.389435</v>
      </c>
      <c r="K334" t="n">
        <v>0</v>
      </c>
      <c r="L334" t="n">
        <v>0.001</v>
      </c>
      <c r="M334" t="n">
        <v>0.489147</v>
      </c>
    </row>
    <row r="335">
      <c r="A335" t="inlineStr">
        <is>
          <t>opt-adam-lr0.001</t>
        </is>
      </c>
      <c r="B335" t="n">
        <v>14</v>
      </c>
      <c r="C335" t="n">
        <v>0.243173</v>
      </c>
      <c r="D335" t="n">
        <v>0.903632</v>
      </c>
      <c r="E335" t="n">
        <v>0.254602</v>
      </c>
      <c r="F335" t="n">
        <v>0.259485</v>
      </c>
      <c r="G335" t="n">
        <v>0.89713</v>
      </c>
      <c r="H335" t="n">
        <v>0.834932</v>
      </c>
      <c r="I335" t="n">
        <v>0.975222</v>
      </c>
      <c r="J335" t="n">
        <v>2.314932</v>
      </c>
      <c r="K335" t="n">
        <v>0</v>
      </c>
      <c r="L335" t="n">
        <v>0.001</v>
      </c>
      <c r="M335" t="n">
        <v>0.481731</v>
      </c>
    </row>
    <row r="336">
      <c r="A336" t="inlineStr">
        <is>
          <t>opt-adam-lr0.001</t>
        </is>
      </c>
      <c r="B336" t="n">
        <v>15</v>
      </c>
      <c r="C336" t="n">
        <v>0.251944</v>
      </c>
      <c r="D336" t="n">
        <v>0.897178</v>
      </c>
      <c r="E336" t="n">
        <v>0.250314</v>
      </c>
      <c r="F336" t="n">
        <v>0.267946</v>
      </c>
      <c r="G336" t="n">
        <v>0.890396</v>
      </c>
      <c r="H336" t="n">
        <v>0.826458</v>
      </c>
      <c r="I336" t="n">
        <v>1.028657</v>
      </c>
      <c r="J336" t="n">
        <v>2.515308</v>
      </c>
      <c r="K336" t="n">
        <v>0</v>
      </c>
      <c r="L336" t="n">
        <v>0.001</v>
      </c>
      <c r="M336" t="n">
        <v>0.482119</v>
      </c>
    </row>
    <row r="337">
      <c r="A337" t="inlineStr">
        <is>
          <t>opt-adam-lr0.001</t>
        </is>
      </c>
      <c r="B337" t="n">
        <v>16</v>
      </c>
      <c r="C337" t="n">
        <v>0.253839</v>
      </c>
      <c r="D337" t="n">
        <v>0.896769</v>
      </c>
      <c r="E337" t="n">
        <v>0.245196</v>
      </c>
      <c r="F337" t="n">
        <v>0.271742</v>
      </c>
      <c r="G337" t="n">
        <v>0.889191</v>
      </c>
      <c r="H337" t="n">
        <v>0.834486</v>
      </c>
      <c r="I337" t="n">
        <v>1.022416</v>
      </c>
      <c r="J337" t="n">
        <v>2.180248</v>
      </c>
      <c r="K337" t="n">
        <v>0</v>
      </c>
      <c r="L337" t="n">
        <v>0.001</v>
      </c>
      <c r="M337" t="n">
        <v>0.477703</v>
      </c>
    </row>
    <row r="338">
      <c r="A338" t="inlineStr">
        <is>
          <t>opt-adam-lr0.001</t>
        </is>
      </c>
      <c r="B338" t="n">
        <v>17</v>
      </c>
      <c r="C338" t="n">
        <v>0.246144</v>
      </c>
      <c r="D338" t="n">
        <v>0.899136</v>
      </c>
      <c r="E338" t="n">
        <v>0.240506</v>
      </c>
      <c r="F338" t="n">
        <v>0.264494</v>
      </c>
      <c r="G338" t="n">
        <v>0.891881</v>
      </c>
      <c r="H338" t="n">
        <v>0.834185</v>
      </c>
      <c r="I338" t="n">
        <v>1.031533</v>
      </c>
      <c r="J338" t="n">
        <v>2.008064</v>
      </c>
      <c r="K338" t="n">
        <v>0</v>
      </c>
      <c r="L338" t="n">
        <v>0.001</v>
      </c>
      <c r="M338" t="n">
        <v>0.479001</v>
      </c>
    </row>
    <row r="339">
      <c r="A339" t="inlineStr">
        <is>
          <t>opt-adam-lr0.001</t>
        </is>
      </c>
      <c r="B339" t="n">
        <v>18</v>
      </c>
      <c r="C339" t="n">
        <v>0.224903</v>
      </c>
      <c r="D339" t="n">
        <v>0.9100279999999999</v>
      </c>
      <c r="E339" t="n">
        <v>0.238364</v>
      </c>
      <c r="F339" t="n">
        <v>0.24374</v>
      </c>
      <c r="G339" t="n">
        <v>0.9021749999999999</v>
      </c>
      <c r="H339" t="n">
        <v>0.843232</v>
      </c>
      <c r="I339" t="n">
        <v>1.074476</v>
      </c>
      <c r="J339" t="n">
        <v>2.533034</v>
      </c>
      <c r="K339" t="n">
        <v>0</v>
      </c>
      <c r="L339" t="n">
        <v>0.001</v>
      </c>
      <c r="M339" t="n">
        <v>0.477427</v>
      </c>
    </row>
    <row r="340">
      <c r="A340" t="inlineStr">
        <is>
          <t>opt-adam-lr0.001</t>
        </is>
      </c>
      <c r="B340" t="n">
        <v>19</v>
      </c>
      <c r="C340" t="n">
        <v>0.226095</v>
      </c>
      <c r="D340" t="n">
        <v>0.909272</v>
      </c>
      <c r="E340" t="n">
        <v>0.232768</v>
      </c>
      <c r="F340" t="n">
        <v>0.246656</v>
      </c>
      <c r="G340" t="n">
        <v>0.900497</v>
      </c>
      <c r="H340" t="n">
        <v>0.84724</v>
      </c>
      <c r="I340" t="n">
        <v>1.037604</v>
      </c>
      <c r="J340" t="n">
        <v>2.370674</v>
      </c>
      <c r="K340" t="n">
        <v>0</v>
      </c>
      <c r="L340" t="n">
        <v>0.001</v>
      </c>
      <c r="M340" t="n">
        <v>0.476083</v>
      </c>
    </row>
    <row r="341">
      <c r="A341" t="inlineStr">
        <is>
          <t>opt-adam-lr0.001</t>
        </is>
      </c>
      <c r="B341" t="n">
        <v>20</v>
      </c>
      <c r="C341" t="n">
        <v>0.227818</v>
      </c>
      <c r="D341" t="n">
        <v>0.908331</v>
      </c>
      <c r="E341" t="n">
        <v>0.228962</v>
      </c>
      <c r="F341" t="n">
        <v>0.247664</v>
      </c>
      <c r="G341" t="n">
        <v>0.901271</v>
      </c>
      <c r="H341" t="n">
        <v>0.843645</v>
      </c>
      <c r="I341" t="n">
        <v>1.041222</v>
      </c>
      <c r="J341" t="n">
        <v>2.568914</v>
      </c>
      <c r="K341" t="n">
        <v>0</v>
      </c>
      <c r="L341" t="n">
        <v>0.001</v>
      </c>
      <c r="M341" t="n">
        <v>0.484465</v>
      </c>
    </row>
    <row r="342">
      <c r="A342" t="inlineStr">
        <is>
          <t>opt-adam-lr0.003</t>
        </is>
      </c>
      <c r="B342" t="n">
        <v>1</v>
      </c>
      <c r="C342" t="n">
        <v>0.4303</v>
      </c>
      <c r="D342" t="n">
        <v>0.8187720000000001</v>
      </c>
      <c r="E342" t="n">
        <v>0.527415</v>
      </c>
      <c r="F342" t="n">
        <v>0.433789</v>
      </c>
      <c r="G342" t="n">
        <v>0.817753</v>
      </c>
      <c r="H342" t="n">
        <v>0.6752359999999999</v>
      </c>
      <c r="I342" t="n">
        <v>0.612494</v>
      </c>
      <c r="J342" t="n">
        <v>2.871076</v>
      </c>
      <c r="K342" t="n">
        <v>0</v>
      </c>
      <c r="L342" t="n">
        <v>0.003</v>
      </c>
      <c r="M342" t="n">
        <v>0.486196</v>
      </c>
    </row>
    <row r="343">
      <c r="A343" t="inlineStr">
        <is>
          <t>opt-adam-lr0.003</t>
        </is>
      </c>
      <c r="B343" t="n">
        <v>2</v>
      </c>
      <c r="C343" t="n">
        <v>0.372959</v>
      </c>
      <c r="D343" t="n">
        <v>0.843231</v>
      </c>
      <c r="E343" t="n">
        <v>0.399733</v>
      </c>
      <c r="F343" t="n">
        <v>0.38008</v>
      </c>
      <c r="G343" t="n">
        <v>0.84015</v>
      </c>
      <c r="H343" t="n">
        <v>0.743907</v>
      </c>
      <c r="I343" t="n">
        <v>0.636476</v>
      </c>
      <c r="J343" t="n">
        <v>1.663679</v>
      </c>
      <c r="K343" t="n">
        <v>0</v>
      </c>
      <c r="L343" t="n">
        <v>0.003</v>
      </c>
      <c r="M343" t="n">
        <v>0.482567</v>
      </c>
    </row>
    <row r="344">
      <c r="A344" t="inlineStr">
        <is>
          <t>opt-adam-lr0.003</t>
        </is>
      </c>
      <c r="B344" t="n">
        <v>3</v>
      </c>
      <c r="C344" t="n">
        <v>0.330087</v>
      </c>
      <c r="D344" t="n">
        <v>0.863062</v>
      </c>
      <c r="E344" t="n">
        <v>0.350644</v>
      </c>
      <c r="F344" t="n">
        <v>0.338867</v>
      </c>
      <c r="G344" t="n">
        <v>0.859437</v>
      </c>
      <c r="H344" t="n">
        <v>0.7529709999999999</v>
      </c>
      <c r="I344" t="n">
        <v>0.655161</v>
      </c>
      <c r="J344" t="n">
        <v>1.618484</v>
      </c>
      <c r="K344" t="n">
        <v>0</v>
      </c>
      <c r="L344" t="n">
        <v>0.003</v>
      </c>
      <c r="M344" t="n">
        <v>0.484255</v>
      </c>
    </row>
    <row r="345">
      <c r="A345" t="inlineStr">
        <is>
          <t>opt-adam-lr0.003</t>
        </is>
      </c>
      <c r="B345" t="n">
        <v>4</v>
      </c>
      <c r="C345" t="n">
        <v>0.3088</v>
      </c>
      <c r="D345" t="n">
        <v>0.872746</v>
      </c>
      <c r="E345" t="n">
        <v>0.32036</v>
      </c>
      <c r="F345" t="n">
        <v>0.318168</v>
      </c>
      <c r="G345" t="n">
        <v>0.869495</v>
      </c>
      <c r="H345" t="n">
        <v>0.793493</v>
      </c>
      <c r="I345" t="n">
        <v>0.6771430000000001</v>
      </c>
      <c r="J345" t="n">
        <v>1.516531</v>
      </c>
      <c r="K345" t="n">
        <v>0</v>
      </c>
      <c r="L345" t="n">
        <v>0.003</v>
      </c>
      <c r="M345" t="n">
        <v>0.479172</v>
      </c>
    </row>
    <row r="346">
      <c r="A346" t="inlineStr">
        <is>
          <t>opt-adam-lr0.003</t>
        </is>
      </c>
      <c r="B346" t="n">
        <v>5</v>
      </c>
      <c r="C346" t="n">
        <v>0.281816</v>
      </c>
      <c r="D346" t="n">
        <v>0.885558</v>
      </c>
      <c r="E346" t="n">
        <v>0.296772</v>
      </c>
      <c r="F346" t="n">
        <v>0.294032</v>
      </c>
      <c r="G346" t="n">
        <v>0.880177</v>
      </c>
      <c r="H346" t="n">
        <v>0.811015</v>
      </c>
      <c r="I346" t="n">
        <v>0.6621629999999999</v>
      </c>
      <c r="J346" t="n">
        <v>1.386752</v>
      </c>
      <c r="K346" t="n">
        <v>0</v>
      </c>
      <c r="L346" t="n">
        <v>0.003</v>
      </c>
      <c r="M346" t="n">
        <v>0.479248</v>
      </c>
    </row>
    <row r="347">
      <c r="A347" t="inlineStr">
        <is>
          <t>opt-adam-lr0.003</t>
        </is>
      </c>
      <c r="B347" t="n">
        <v>6</v>
      </c>
      <c r="C347" t="n">
        <v>0.290063</v>
      </c>
      <c r="D347" t="n">
        <v>0.881841</v>
      </c>
      <c r="E347" t="n">
        <v>0.282034</v>
      </c>
      <c r="F347" t="n">
        <v>0.303076</v>
      </c>
      <c r="G347" t="n">
        <v>0.876638</v>
      </c>
      <c r="H347" t="n">
        <v>0.826097</v>
      </c>
      <c r="I347" t="n">
        <v>0.685343</v>
      </c>
      <c r="J347" t="n">
        <v>1.70974</v>
      </c>
      <c r="K347" t="n">
        <v>0</v>
      </c>
      <c r="L347" t="n">
        <v>0.003</v>
      </c>
      <c r="M347" t="n">
        <v>0.4897</v>
      </c>
    </row>
    <row r="348">
      <c r="A348" t="inlineStr">
        <is>
          <t>opt-adam-lr0.003</t>
        </is>
      </c>
      <c r="B348" t="n">
        <v>7</v>
      </c>
      <c r="C348" t="n">
        <v>0.253576</v>
      </c>
      <c r="D348" t="n">
        <v>0.8960669999999999</v>
      </c>
      <c r="E348" t="n">
        <v>0.266824</v>
      </c>
      <c r="F348" t="n">
        <v>0.270453</v>
      </c>
      <c r="G348" t="n">
        <v>0.8890940000000001</v>
      </c>
      <c r="H348" t="n">
        <v>0.820248</v>
      </c>
      <c r="I348" t="n">
        <v>0.668537</v>
      </c>
      <c r="J348" t="n">
        <v>1.765591</v>
      </c>
      <c r="K348" t="n">
        <v>0</v>
      </c>
      <c r="L348" t="n">
        <v>0.003</v>
      </c>
      <c r="M348" t="n">
        <v>0.479146</v>
      </c>
    </row>
    <row r="349">
      <c r="A349" t="inlineStr">
        <is>
          <t>opt-adam-lr0.003</t>
        </is>
      </c>
      <c r="B349" t="n">
        <v>8</v>
      </c>
      <c r="C349" t="n">
        <v>0.244783</v>
      </c>
      <c r="D349" t="n">
        <v>0.899432</v>
      </c>
      <c r="E349" t="n">
        <v>0.256987</v>
      </c>
      <c r="F349" t="n">
        <v>0.25958</v>
      </c>
      <c r="G349" t="n">
        <v>0.894236</v>
      </c>
      <c r="H349" t="n">
        <v>0.841348</v>
      </c>
      <c r="I349" t="n">
        <v>0.669269</v>
      </c>
      <c r="J349" t="n">
        <v>1.365702</v>
      </c>
      <c r="K349" t="n">
        <v>0</v>
      </c>
      <c r="L349" t="n">
        <v>0.003</v>
      </c>
      <c r="M349" t="n">
        <v>0.478865</v>
      </c>
    </row>
    <row r="350">
      <c r="A350" t="inlineStr">
        <is>
          <t>opt-adam-lr0.003</t>
        </is>
      </c>
      <c r="B350" t="n">
        <v>9</v>
      </c>
      <c r="C350" t="n">
        <v>0.233959</v>
      </c>
      <c r="D350" t="n">
        <v>0.90467</v>
      </c>
      <c r="E350" t="n">
        <v>0.246839</v>
      </c>
      <c r="F350" t="n">
        <v>0.251797</v>
      </c>
      <c r="G350" t="n">
        <v>0.897786</v>
      </c>
      <c r="H350" t="n">
        <v>0.837568</v>
      </c>
      <c r="I350" t="n">
        <v>0.671775</v>
      </c>
      <c r="J350" t="n">
        <v>1.472841</v>
      </c>
      <c r="K350" t="n">
        <v>0</v>
      </c>
      <c r="L350" t="n">
        <v>0.003</v>
      </c>
      <c r="M350" t="n">
        <v>0.476607</v>
      </c>
    </row>
    <row r="351">
      <c r="A351" t="inlineStr">
        <is>
          <t>opt-adam-lr0.003</t>
        </is>
      </c>
      <c r="B351" t="n">
        <v>10</v>
      </c>
      <c r="C351" t="n">
        <v>0.240112</v>
      </c>
      <c r="D351" t="n">
        <v>0.901879</v>
      </c>
      <c r="E351" t="n">
        <v>0.240363</v>
      </c>
      <c r="F351" t="n">
        <v>0.258864</v>
      </c>
      <c r="G351" t="n">
        <v>0.895075</v>
      </c>
      <c r="H351" t="n">
        <v>0.837462</v>
      </c>
      <c r="I351" t="n">
        <v>0.678209</v>
      </c>
      <c r="J351" t="n">
        <v>1.403276</v>
      </c>
      <c r="K351" t="n">
        <v>0</v>
      </c>
      <c r="L351" t="n">
        <v>0.003</v>
      </c>
      <c r="M351" t="n">
        <v>0.512625</v>
      </c>
    </row>
    <row r="352">
      <c r="A352" t="inlineStr">
        <is>
          <t>opt-adam-lr0.003</t>
        </is>
      </c>
      <c r="B352" t="n">
        <v>11</v>
      </c>
      <c r="C352" t="n">
        <v>0.217391</v>
      </c>
      <c r="D352" t="n">
        <v>0.912289</v>
      </c>
      <c r="E352" t="n">
        <v>0.230966</v>
      </c>
      <c r="F352" t="n">
        <v>0.238407</v>
      </c>
      <c r="G352" t="n">
        <v>0.904477</v>
      </c>
      <c r="H352" t="n">
        <v>0.843157</v>
      </c>
      <c r="I352" t="n">
        <v>0.654987</v>
      </c>
      <c r="J352" t="n">
        <v>1.225517</v>
      </c>
      <c r="K352" t="n">
        <v>0</v>
      </c>
      <c r="L352" t="n">
        <v>0.003</v>
      </c>
      <c r="M352" t="n">
        <v>0.482524</v>
      </c>
    </row>
    <row r="353">
      <c r="A353" t="inlineStr">
        <is>
          <t>opt-adam-lr0.003</t>
        </is>
      </c>
      <c r="B353" t="n">
        <v>12</v>
      </c>
      <c r="C353" t="n">
        <v>0.212971</v>
      </c>
      <c r="D353" t="n">
        <v>0.914026</v>
      </c>
      <c r="E353" t="n">
        <v>0.225664</v>
      </c>
      <c r="F353" t="n">
        <v>0.23591</v>
      </c>
      <c r="G353" t="n">
        <v>0.905478</v>
      </c>
      <c r="H353" t="n">
        <v>0.852573</v>
      </c>
      <c r="I353" t="n">
        <v>0.678937</v>
      </c>
      <c r="J353" t="n">
        <v>2.182562</v>
      </c>
      <c r="K353" t="n">
        <v>0</v>
      </c>
      <c r="L353" t="n">
        <v>0.003</v>
      </c>
      <c r="M353" t="n">
        <v>0.488311</v>
      </c>
    </row>
    <row r="354">
      <c r="A354" t="inlineStr">
        <is>
          <t>opt-adam-lr0.003</t>
        </is>
      </c>
      <c r="B354" t="n">
        <v>13</v>
      </c>
      <c r="C354" t="n">
        <v>0.211301</v>
      </c>
      <c r="D354" t="n">
        <v>0.91408</v>
      </c>
      <c r="E354" t="n">
        <v>0.221074</v>
      </c>
      <c r="F354" t="n">
        <v>0.233121</v>
      </c>
      <c r="G354" t="n">
        <v>0.905962</v>
      </c>
      <c r="H354" t="n">
        <v>0.861887</v>
      </c>
      <c r="I354" t="n">
        <v>0.690869</v>
      </c>
      <c r="J354" t="n">
        <v>1.422343</v>
      </c>
      <c r="K354" t="n">
        <v>0</v>
      </c>
      <c r="L354" t="n">
        <v>0.003</v>
      </c>
      <c r="M354" t="n">
        <v>0.484905</v>
      </c>
    </row>
    <row r="355">
      <c r="A355" t="inlineStr">
        <is>
          <t>opt-adam-lr0.003</t>
        </is>
      </c>
      <c r="B355" t="n">
        <v>14</v>
      </c>
      <c r="C355" t="n">
        <v>0.210527</v>
      </c>
      <c r="D355" t="n">
        <v>0.915643</v>
      </c>
      <c r="E355" t="n">
        <v>0.214151</v>
      </c>
      <c r="F355" t="n">
        <v>0.234181</v>
      </c>
      <c r="G355" t="n">
        <v>0.907693</v>
      </c>
      <c r="H355" t="n">
        <v>0.860713</v>
      </c>
      <c r="I355" t="n">
        <v>0.67655</v>
      </c>
      <c r="J355" t="n">
        <v>1.366969</v>
      </c>
      <c r="K355" t="n">
        <v>0</v>
      </c>
      <c r="L355" t="n">
        <v>0.003</v>
      </c>
      <c r="M355" t="n">
        <v>0.493015</v>
      </c>
    </row>
    <row r="356">
      <c r="A356" t="inlineStr">
        <is>
          <t>opt-adam-lr0.003</t>
        </is>
      </c>
      <c r="B356" t="n">
        <v>15</v>
      </c>
      <c r="C356" t="n">
        <v>0.212664</v>
      </c>
      <c r="D356" t="n">
        <v>0.91284</v>
      </c>
      <c r="E356" t="n">
        <v>0.212335</v>
      </c>
      <c r="F356" t="n">
        <v>0.234478</v>
      </c>
      <c r="G356" t="n">
        <v>0.904703</v>
      </c>
      <c r="H356" t="n">
        <v>0.862166</v>
      </c>
      <c r="I356" t="n">
        <v>0.700776</v>
      </c>
      <c r="J356" t="n">
        <v>1.462807</v>
      </c>
      <c r="K356" t="n">
        <v>0</v>
      </c>
      <c r="L356" t="n">
        <v>0.003</v>
      </c>
      <c r="M356" t="n">
        <v>0.483</v>
      </c>
    </row>
    <row r="357">
      <c r="A357" t="inlineStr">
        <is>
          <t>opt-adam-lr0.003</t>
        </is>
      </c>
      <c r="B357" t="n">
        <v>16</v>
      </c>
      <c r="C357" t="n">
        <v>0.204633</v>
      </c>
      <c r="D357" t="n">
        <v>0.9191279999999999</v>
      </c>
      <c r="E357" t="n">
        <v>0.206185</v>
      </c>
      <c r="F357" t="n">
        <v>0.229303</v>
      </c>
      <c r="G357" t="n">
        <v>0.911114</v>
      </c>
      <c r="H357" t="n">
        <v>0.865449</v>
      </c>
      <c r="I357" t="n">
        <v>0.688432</v>
      </c>
      <c r="J357" t="n">
        <v>1.363425</v>
      </c>
      <c r="K357" t="n">
        <v>0</v>
      </c>
      <c r="L357" t="n">
        <v>0.003</v>
      </c>
      <c r="M357" t="n">
        <v>0.480744</v>
      </c>
    </row>
    <row r="358">
      <c r="A358" t="inlineStr">
        <is>
          <t>opt-adam-lr0.003</t>
        </is>
      </c>
      <c r="B358" t="n">
        <v>17</v>
      </c>
      <c r="C358" t="n">
        <v>0.194289</v>
      </c>
      <c r="D358" t="n">
        <v>0.921029</v>
      </c>
      <c r="E358" t="n">
        <v>0.202059</v>
      </c>
      <c r="F358" t="n">
        <v>0.21918</v>
      </c>
      <c r="G358" t="n">
        <v>0.91276</v>
      </c>
      <c r="H358" t="n">
        <v>0.865503</v>
      </c>
      <c r="I358" t="n">
        <v>0.685634</v>
      </c>
      <c r="J358" t="n">
        <v>1.473629</v>
      </c>
      <c r="K358" t="n">
        <v>0</v>
      </c>
      <c r="L358" t="n">
        <v>0.003</v>
      </c>
      <c r="M358" t="n">
        <v>0.481666</v>
      </c>
    </row>
    <row r="359">
      <c r="A359" t="inlineStr">
        <is>
          <t>opt-adam-lr0.003</t>
        </is>
      </c>
      <c r="B359" t="n">
        <v>18</v>
      </c>
      <c r="C359" t="n">
        <v>0.186323</v>
      </c>
      <c r="D359" t="n">
        <v>0.925346</v>
      </c>
      <c r="E359" t="n">
        <v>0.201193</v>
      </c>
      <c r="F359" t="n">
        <v>0.212743</v>
      </c>
      <c r="G359" t="n">
        <v>0.915998</v>
      </c>
      <c r="H359" t="n">
        <v>0.871918</v>
      </c>
      <c r="I359" t="n">
        <v>0.702982</v>
      </c>
      <c r="J359" t="n">
        <v>1.565675</v>
      </c>
      <c r="K359" t="n">
        <v>0</v>
      </c>
      <c r="L359" t="n">
        <v>0.003</v>
      </c>
      <c r="M359" t="n">
        <v>0.485082</v>
      </c>
    </row>
    <row r="360">
      <c r="A360" t="inlineStr">
        <is>
          <t>opt-adam-lr0.003</t>
        </is>
      </c>
      <c r="B360" t="n">
        <v>19</v>
      </c>
      <c r="C360" t="n">
        <v>0.194061</v>
      </c>
      <c r="D360" t="n">
        <v>0.921739</v>
      </c>
      <c r="E360" t="n">
        <v>0.195881</v>
      </c>
      <c r="F360" t="n">
        <v>0.220663</v>
      </c>
      <c r="G360" t="n">
        <v>0.913137</v>
      </c>
      <c r="H360" t="n">
        <v>0.870808</v>
      </c>
      <c r="I360" t="n">
        <v>0.683682</v>
      </c>
      <c r="J360" t="n">
        <v>1.581188</v>
      </c>
      <c r="K360" t="n">
        <v>0</v>
      </c>
      <c r="L360" t="n">
        <v>0.003</v>
      </c>
      <c r="M360" t="n">
        <v>0.535005</v>
      </c>
    </row>
    <row r="361">
      <c r="A361" t="inlineStr">
        <is>
          <t>opt-adam-lr0.003</t>
        </is>
      </c>
      <c r="B361" t="n">
        <v>20</v>
      </c>
      <c r="C361" t="n">
        <v>0.18681</v>
      </c>
      <c r="D361" t="n">
        <v>0.923979</v>
      </c>
      <c r="E361" t="n">
        <v>0.19331</v>
      </c>
      <c r="F361" t="n">
        <v>0.213006</v>
      </c>
      <c r="G361" t="n">
        <v>0.914782</v>
      </c>
      <c r="H361" t="n">
        <v>0.877476</v>
      </c>
      <c r="I361" t="n">
        <v>0.684612</v>
      </c>
      <c r="J361" t="n">
        <v>1.553437</v>
      </c>
      <c r="K361" t="n">
        <v>0</v>
      </c>
      <c r="L361" t="n">
        <v>0.003</v>
      </c>
      <c r="M361" t="n">
        <v>0.482109</v>
      </c>
    </row>
    <row r="362">
      <c r="A362" t="inlineStr">
        <is>
          <t>opt-adam-lr0.01</t>
        </is>
      </c>
      <c r="B362" t="n">
        <v>1</v>
      </c>
      <c r="C362" t="n">
        <v>0.41323</v>
      </c>
      <c r="D362" t="n">
        <v>0.824094</v>
      </c>
      <c r="E362" t="n">
        <v>0.501946</v>
      </c>
      <c r="F362" t="n">
        <v>0.416125</v>
      </c>
      <c r="G362" t="n">
        <v>0.822928</v>
      </c>
      <c r="H362" t="n">
        <v>0.710155</v>
      </c>
      <c r="I362" t="n">
        <v>0.576417</v>
      </c>
      <c r="J362" t="n">
        <v>2.871076</v>
      </c>
      <c r="K362" t="n">
        <v>0</v>
      </c>
      <c r="L362" t="n">
        <v>0.01</v>
      </c>
      <c r="M362" t="n">
        <v>0.489036</v>
      </c>
    </row>
    <row r="363">
      <c r="A363" t="inlineStr">
        <is>
          <t>opt-adam-lr0.01</t>
        </is>
      </c>
      <c r="B363" t="n">
        <v>2</v>
      </c>
      <c r="C363" t="n">
        <v>0.352578</v>
      </c>
      <c r="D363" t="n">
        <v>0.852106</v>
      </c>
      <c r="E363" t="n">
        <v>0.379205</v>
      </c>
      <c r="F363" t="n">
        <v>0.360148</v>
      </c>
      <c r="G363" t="n">
        <v>0.849024</v>
      </c>
      <c r="H363" t="n">
        <v>0.763603</v>
      </c>
      <c r="I363" t="n">
        <v>0.506386</v>
      </c>
      <c r="J363" t="n">
        <v>1.09437</v>
      </c>
      <c r="K363" t="n">
        <v>0</v>
      </c>
      <c r="L363" t="n">
        <v>0.01</v>
      </c>
      <c r="M363" t="n">
        <v>0.488137</v>
      </c>
    </row>
    <row r="364">
      <c r="A364" t="inlineStr">
        <is>
          <t>opt-adam-lr0.01</t>
        </is>
      </c>
      <c r="B364" t="n">
        <v>3</v>
      </c>
      <c r="C364" t="n">
        <v>0.323092</v>
      </c>
      <c r="D364" t="n">
        <v>0.86729</v>
      </c>
      <c r="E364" t="n">
        <v>0.33491</v>
      </c>
      <c r="F364" t="n">
        <v>0.335427</v>
      </c>
      <c r="G364" t="n">
        <v>0.862019</v>
      </c>
      <c r="H364" t="n">
        <v>0.772627</v>
      </c>
      <c r="I364" t="n">
        <v>0.489167</v>
      </c>
      <c r="J364" t="n">
        <v>1.159026</v>
      </c>
      <c r="K364" t="n">
        <v>0</v>
      </c>
      <c r="L364" t="n">
        <v>0.01</v>
      </c>
      <c r="M364" t="n">
        <v>0.481781</v>
      </c>
    </row>
    <row r="365">
      <c r="A365" t="inlineStr">
        <is>
          <t>opt-adam-lr0.01</t>
        </is>
      </c>
      <c r="B365" t="n">
        <v>4</v>
      </c>
      <c r="C365" t="n">
        <v>0.29592</v>
      </c>
      <c r="D365" t="n">
        <v>0.878466</v>
      </c>
      <c r="E365" t="n">
        <v>0.309444</v>
      </c>
      <c r="F365" t="n">
        <v>0.308959</v>
      </c>
      <c r="G365" t="n">
        <v>0.874142</v>
      </c>
      <c r="H365" t="n">
        <v>0.809324</v>
      </c>
      <c r="I365" t="n">
        <v>0.47435</v>
      </c>
      <c r="J365" t="n">
        <v>0.993699</v>
      </c>
      <c r="K365" t="n">
        <v>0</v>
      </c>
      <c r="L365" t="n">
        <v>0.01</v>
      </c>
      <c r="M365" t="n">
        <v>0.510148</v>
      </c>
    </row>
    <row r="366">
      <c r="A366" t="inlineStr">
        <is>
          <t>opt-adam-lr0.01</t>
        </is>
      </c>
      <c r="B366" t="n">
        <v>5</v>
      </c>
      <c r="C366" t="n">
        <v>0.271727</v>
      </c>
      <c r="D366" t="n">
        <v>0.889489</v>
      </c>
      <c r="E366" t="n">
        <v>0.290355</v>
      </c>
      <c r="F366" t="n">
        <v>0.286178</v>
      </c>
      <c r="G366" t="n">
        <v>0.884211</v>
      </c>
      <c r="H366" t="n">
        <v>0.818447</v>
      </c>
      <c r="I366" t="n">
        <v>0.471732</v>
      </c>
      <c r="J366" t="n">
        <v>1.121524</v>
      </c>
      <c r="K366" t="n">
        <v>0</v>
      </c>
      <c r="L366" t="n">
        <v>0.01</v>
      </c>
      <c r="M366" t="n">
        <v>0.503312</v>
      </c>
    </row>
    <row r="367">
      <c r="A367" t="inlineStr">
        <is>
          <t>opt-adam-lr0.01</t>
        </is>
      </c>
      <c r="B367" t="n">
        <v>6</v>
      </c>
      <c r="C367" t="n">
        <v>0.268492</v>
      </c>
      <c r="D367" t="n">
        <v>0.889299</v>
      </c>
      <c r="E367" t="n">
        <v>0.2773</v>
      </c>
      <c r="F367" t="n">
        <v>0.283357</v>
      </c>
      <c r="G367" t="n">
        <v>0.88463</v>
      </c>
      <c r="H367" t="n">
        <v>0.82581</v>
      </c>
      <c r="I367" t="n">
        <v>0.472051</v>
      </c>
      <c r="J367" t="n">
        <v>0.947474</v>
      </c>
      <c r="K367" t="n">
        <v>0</v>
      </c>
      <c r="L367" t="n">
        <v>0.01</v>
      </c>
      <c r="M367" t="n">
        <v>0.487811</v>
      </c>
    </row>
    <row r="368">
      <c r="A368" t="inlineStr">
        <is>
          <t>opt-adam-lr0.01</t>
        </is>
      </c>
      <c r="B368" t="n">
        <v>7</v>
      </c>
      <c r="C368" t="n">
        <v>0.250966</v>
      </c>
      <c r="D368" t="n">
        <v>0.897549</v>
      </c>
      <c r="E368" t="n">
        <v>0.266653</v>
      </c>
      <c r="F368" t="n">
        <v>0.266762</v>
      </c>
      <c r="G368" t="n">
        <v>0.891493</v>
      </c>
      <c r="H368" t="n">
        <v>0.822166</v>
      </c>
      <c r="I368" t="n">
        <v>0.472287</v>
      </c>
      <c r="J368" t="n">
        <v>1.058816</v>
      </c>
      <c r="K368" t="n">
        <v>0</v>
      </c>
      <c r="L368" t="n">
        <v>0.01</v>
      </c>
      <c r="M368" t="n">
        <v>0.5006930000000001</v>
      </c>
    </row>
    <row r="369">
      <c r="A369" t="inlineStr">
        <is>
          <t>opt-adam-lr0.01</t>
        </is>
      </c>
      <c r="B369" t="n">
        <v>8</v>
      </c>
      <c r="C369" t="n">
        <v>0.243722</v>
      </c>
      <c r="D369" t="n">
        <v>0.899953</v>
      </c>
      <c r="E369" t="n">
        <v>0.256469</v>
      </c>
      <c r="F369" t="n">
        <v>0.260738</v>
      </c>
      <c r="G369" t="n">
        <v>0.893516</v>
      </c>
      <c r="H369" t="n">
        <v>0.837303</v>
      </c>
      <c r="I369" t="n">
        <v>0.465381</v>
      </c>
      <c r="J369" t="n">
        <v>0.961833</v>
      </c>
      <c r="K369" t="n">
        <v>0</v>
      </c>
      <c r="L369" t="n">
        <v>0.01</v>
      </c>
      <c r="M369" t="n">
        <v>0.509381</v>
      </c>
    </row>
    <row r="370">
      <c r="A370" t="inlineStr">
        <is>
          <t>opt-adam-lr0.01</t>
        </is>
      </c>
      <c r="B370" t="n">
        <v>9</v>
      </c>
      <c r="C370" t="n">
        <v>0.233822</v>
      </c>
      <c r="D370" t="n">
        <v>0.904399</v>
      </c>
      <c r="E370" t="n">
        <v>0.248537</v>
      </c>
      <c r="F370" t="n">
        <v>0.254361</v>
      </c>
      <c r="G370" t="n">
        <v>0.8968930000000001</v>
      </c>
      <c r="H370" t="n">
        <v>0.833441</v>
      </c>
      <c r="I370" t="n">
        <v>0.465381</v>
      </c>
      <c r="J370" t="n">
        <v>1.014087</v>
      </c>
      <c r="K370" t="n">
        <v>0</v>
      </c>
      <c r="L370" t="n">
        <v>0.01</v>
      </c>
      <c r="M370" t="n">
        <v>0.483477</v>
      </c>
    </row>
    <row r="371">
      <c r="A371" t="inlineStr">
        <is>
          <t>opt-adam-lr0.01</t>
        </is>
      </c>
      <c r="B371" t="n">
        <v>10</v>
      </c>
      <c r="C371" t="n">
        <v>0.235728</v>
      </c>
      <c r="D371" t="n">
        <v>0.903662</v>
      </c>
      <c r="E371" t="n">
        <v>0.241296</v>
      </c>
      <c r="F371" t="n">
        <v>0.253958</v>
      </c>
      <c r="G371" t="n">
        <v>0.897367</v>
      </c>
      <c r="H371" t="n">
        <v>0.834602</v>
      </c>
      <c r="I371" t="n">
        <v>0.458069</v>
      </c>
      <c r="J371" t="n">
        <v>0.874048</v>
      </c>
      <c r="K371" t="n">
        <v>0</v>
      </c>
      <c r="L371" t="n">
        <v>0.01</v>
      </c>
      <c r="M371" t="n">
        <v>0.483146</v>
      </c>
    </row>
    <row r="372">
      <c r="A372" t="inlineStr">
        <is>
          <t>opt-adam-lr0.01</t>
        </is>
      </c>
      <c r="B372" t="n">
        <v>11</v>
      </c>
      <c r="C372" t="n">
        <v>0.225465</v>
      </c>
      <c r="D372" t="n">
        <v>0.907591</v>
      </c>
      <c r="E372" t="n">
        <v>0.235554</v>
      </c>
      <c r="F372" t="n">
        <v>0.246214</v>
      </c>
      <c r="G372" t="n">
        <v>0.900465</v>
      </c>
      <c r="H372" t="n">
        <v>0.837683</v>
      </c>
      <c r="I372" t="n">
        <v>0.457717</v>
      </c>
      <c r="J372" t="n">
        <v>0.913915</v>
      </c>
      <c r="K372" t="n">
        <v>0</v>
      </c>
      <c r="L372" t="n">
        <v>0.01</v>
      </c>
      <c r="M372" t="n">
        <v>0.480551</v>
      </c>
    </row>
    <row r="373">
      <c r="A373" t="inlineStr">
        <is>
          <t>opt-adam-lr0.01</t>
        </is>
      </c>
      <c r="B373" t="n">
        <v>12</v>
      </c>
      <c r="C373" t="n">
        <v>0.230224</v>
      </c>
      <c r="D373" t="n">
        <v>0.90754</v>
      </c>
      <c r="E373" t="n">
        <v>0.229778</v>
      </c>
      <c r="F373" t="n">
        <v>0.254426</v>
      </c>
      <c r="G373" t="n">
        <v>0.899012</v>
      </c>
      <c r="H373" t="n">
        <v>0.845676</v>
      </c>
      <c r="I373" t="n">
        <v>0.454088</v>
      </c>
      <c r="J373" t="n">
        <v>1.006177</v>
      </c>
      <c r="K373" t="n">
        <v>0</v>
      </c>
      <c r="L373" t="n">
        <v>0.01</v>
      </c>
      <c r="M373" t="n">
        <v>0.489207</v>
      </c>
    </row>
    <row r="374">
      <c r="A374" t="inlineStr">
        <is>
          <t>opt-adam-lr0.01</t>
        </is>
      </c>
      <c r="B374" t="n">
        <v>13</v>
      </c>
      <c r="C374" t="n">
        <v>0.226799</v>
      </c>
      <c r="D374" t="n">
        <v>0.908473</v>
      </c>
      <c r="E374" t="n">
        <v>0.22517</v>
      </c>
      <c r="F374" t="n">
        <v>0.249656</v>
      </c>
      <c r="G374" t="n">
        <v>0.90012</v>
      </c>
      <c r="H374" t="n">
        <v>0.848864</v>
      </c>
      <c r="I374" t="n">
        <v>0.46738</v>
      </c>
      <c r="J374" t="n">
        <v>0.980552</v>
      </c>
      <c r="K374" t="n">
        <v>0</v>
      </c>
      <c r="L374" t="n">
        <v>0.01</v>
      </c>
      <c r="M374" t="n">
        <v>0.47874</v>
      </c>
    </row>
    <row r="375">
      <c r="A375" t="inlineStr">
        <is>
          <t>opt-adam-lr0.01</t>
        </is>
      </c>
      <c r="B375" t="n">
        <v>14</v>
      </c>
      <c r="C375" t="n">
        <v>0.204663</v>
      </c>
      <c r="D375" t="n">
        <v>0.917582</v>
      </c>
      <c r="E375" t="n">
        <v>0.220848</v>
      </c>
      <c r="F375" t="n">
        <v>0.228529</v>
      </c>
      <c r="G375" t="n">
        <v>0.909382</v>
      </c>
      <c r="H375" t="n">
        <v>0.8574619999999999</v>
      </c>
      <c r="I375" t="n">
        <v>0.456506</v>
      </c>
      <c r="J375" t="n">
        <v>0.919014</v>
      </c>
      <c r="K375" t="n">
        <v>0</v>
      </c>
      <c r="L375" t="n">
        <v>0.01</v>
      </c>
      <c r="M375" t="n">
        <v>0.483831</v>
      </c>
    </row>
    <row r="376">
      <c r="A376" t="inlineStr">
        <is>
          <t>opt-adam-lr0.01</t>
        </is>
      </c>
      <c r="B376" t="n">
        <v>15</v>
      </c>
      <c r="C376" t="n">
        <v>0.207988</v>
      </c>
      <c r="D376" t="n">
        <v>0.917364</v>
      </c>
      <c r="E376" t="n">
        <v>0.216785</v>
      </c>
      <c r="F376" t="n">
        <v>0.231392</v>
      </c>
      <c r="G376" t="n">
        <v>0.908909</v>
      </c>
      <c r="H376" t="n">
        <v>0.844588</v>
      </c>
      <c r="I376" t="n">
        <v>0.460385</v>
      </c>
      <c r="J376" t="n">
        <v>0.898436</v>
      </c>
      <c r="K376" t="n">
        <v>0</v>
      </c>
      <c r="L376" t="n">
        <v>0.01</v>
      </c>
      <c r="M376" t="n">
        <v>0.482053</v>
      </c>
    </row>
    <row r="377">
      <c r="A377" t="inlineStr">
        <is>
          <t>opt-adam-lr0.01</t>
        </is>
      </c>
      <c r="B377" t="n">
        <v>16</v>
      </c>
      <c r="C377" t="n">
        <v>0.208606</v>
      </c>
      <c r="D377" t="n">
        <v>0.917426</v>
      </c>
      <c r="E377" t="n">
        <v>0.212573</v>
      </c>
      <c r="F377" t="n">
        <v>0.232383</v>
      </c>
      <c r="G377" t="n">
        <v>0.909253</v>
      </c>
      <c r="H377" t="n">
        <v>0.857111</v>
      </c>
      <c r="I377" t="n">
        <v>0.463115</v>
      </c>
      <c r="J377" t="n">
        <v>0.919906</v>
      </c>
      <c r="K377" t="n">
        <v>0</v>
      </c>
      <c r="L377" t="n">
        <v>0.01</v>
      </c>
      <c r="M377" t="n">
        <v>0.481485</v>
      </c>
    </row>
    <row r="378">
      <c r="A378" t="inlineStr">
        <is>
          <t>opt-adam-lr0.01</t>
        </is>
      </c>
      <c r="B378" t="n">
        <v>17</v>
      </c>
      <c r="C378" t="n">
        <v>0.20054</v>
      </c>
      <c r="D378" t="n">
        <v>0.91894</v>
      </c>
      <c r="E378" t="n">
        <v>0.210683</v>
      </c>
      <c r="F378" t="n">
        <v>0.224459</v>
      </c>
      <c r="G378" t="n">
        <v>0.91035</v>
      </c>
      <c r="H378" t="n">
        <v>0.854765</v>
      </c>
      <c r="I378" t="n">
        <v>0.467552</v>
      </c>
      <c r="J378" t="n">
        <v>1.222454</v>
      </c>
      <c r="K378" t="n">
        <v>0</v>
      </c>
      <c r="L378" t="n">
        <v>0.01</v>
      </c>
      <c r="M378" t="n">
        <v>0.501484</v>
      </c>
    </row>
    <row r="379">
      <c r="A379" t="inlineStr">
        <is>
          <t>opt-adam-lr0.01</t>
        </is>
      </c>
      <c r="B379" t="n">
        <v>18</v>
      </c>
      <c r="C379" t="n">
        <v>0.201267</v>
      </c>
      <c r="D379" t="n">
        <v>0.91919</v>
      </c>
      <c r="E379" t="n">
        <v>0.206819</v>
      </c>
      <c r="F379" t="n">
        <v>0.227478</v>
      </c>
      <c r="G379" t="n">
        <v>0.910705</v>
      </c>
      <c r="H379" t="n">
        <v>0.862303</v>
      </c>
      <c r="I379" t="n">
        <v>0.461421</v>
      </c>
      <c r="J379" t="n">
        <v>0.866044</v>
      </c>
      <c r="K379" t="n">
        <v>0</v>
      </c>
      <c r="L379" t="n">
        <v>0.01</v>
      </c>
      <c r="M379" t="n">
        <v>0.50102</v>
      </c>
    </row>
    <row r="380">
      <c r="A380" t="inlineStr">
        <is>
          <t>opt-adam-lr0.01</t>
        </is>
      </c>
      <c r="B380" t="n">
        <v>19</v>
      </c>
      <c r="C380" t="n">
        <v>0.195233</v>
      </c>
      <c r="D380" t="n">
        <v>0.920389</v>
      </c>
      <c r="E380" t="n">
        <v>0.204436</v>
      </c>
      <c r="F380" t="n">
        <v>0.220904</v>
      </c>
      <c r="G380" t="n">
        <v>0.911835</v>
      </c>
      <c r="H380" t="n">
        <v>0.862579</v>
      </c>
      <c r="I380" t="n">
        <v>0.465827</v>
      </c>
      <c r="J380" t="n">
        <v>1.348079</v>
      </c>
      <c r="K380" t="n">
        <v>0</v>
      </c>
      <c r="L380" t="n">
        <v>0.01</v>
      </c>
      <c r="M380" t="n">
        <v>0.493328</v>
      </c>
    </row>
    <row r="381">
      <c r="A381" t="inlineStr">
        <is>
          <t>opt-adam-lr0.01</t>
        </is>
      </c>
      <c r="B381" t="n">
        <v>20</v>
      </c>
      <c r="C381" t="n">
        <v>0.187927</v>
      </c>
      <c r="D381" t="n">
        <v>0.924878</v>
      </c>
      <c r="E381" t="n">
        <v>0.200361</v>
      </c>
      <c r="F381" t="n">
        <v>0.217582</v>
      </c>
      <c r="G381" t="n">
        <v>0.914922</v>
      </c>
      <c r="H381" t="n">
        <v>0.861206</v>
      </c>
      <c r="I381" t="n">
        <v>0.459772</v>
      </c>
      <c r="J381" t="n">
        <v>0.864493</v>
      </c>
      <c r="K381" t="n">
        <v>0</v>
      </c>
      <c r="L381" t="n">
        <v>0.01</v>
      </c>
      <c r="M381" t="n">
        <v>0.504907</v>
      </c>
    </row>
    <row r="382">
      <c r="A382" t="inlineStr">
        <is>
          <t>opt-adamw-lr0.0003</t>
        </is>
      </c>
      <c r="B382" t="n">
        <v>1</v>
      </c>
      <c r="C382" t="n">
        <v>0.564577</v>
      </c>
      <c r="D382" t="n">
        <v>0.761636</v>
      </c>
      <c r="E382" t="n">
        <v>0.687518</v>
      </c>
      <c r="F382" t="n">
        <v>0.568314</v>
      </c>
      <c r="G382" t="n">
        <v>0.759945</v>
      </c>
      <c r="H382" t="n">
        <v>0.547243</v>
      </c>
      <c r="I382" t="n">
        <v>0.479091</v>
      </c>
      <c r="J382" t="n">
        <v>2.871076</v>
      </c>
      <c r="K382" t="n">
        <v>0</v>
      </c>
      <c r="L382" t="n">
        <v>0.0003</v>
      </c>
      <c r="M382" t="n">
        <v>0.483713</v>
      </c>
    </row>
    <row r="383">
      <c r="A383" t="inlineStr">
        <is>
          <t>opt-adamw-lr0.0003</t>
        </is>
      </c>
      <c r="B383" t="n">
        <v>2</v>
      </c>
      <c r="C383" t="n">
        <v>0.510239</v>
      </c>
      <c r="D383" t="n">
        <v>0.784436</v>
      </c>
      <c r="E383" t="n">
        <v>0.537054</v>
      </c>
      <c r="F383" t="n">
        <v>0.514659</v>
      </c>
      <c r="G383" t="n">
        <v>0.782287</v>
      </c>
      <c r="H383" t="n">
        <v>0.627109</v>
      </c>
      <c r="I383" t="n">
        <v>0.515662</v>
      </c>
      <c r="J383" t="n">
        <v>1.202452</v>
      </c>
      <c r="K383" t="n">
        <v>0</v>
      </c>
      <c r="L383" t="n">
        <v>0.0003</v>
      </c>
      <c r="M383" t="n">
        <v>0.497219</v>
      </c>
    </row>
    <row r="384">
      <c r="A384" t="inlineStr">
        <is>
          <t>opt-adamw-lr0.0003</t>
        </is>
      </c>
      <c r="B384" t="n">
        <v>3</v>
      </c>
      <c r="C384" t="n">
        <v>0.474217</v>
      </c>
      <c r="D384" t="n">
        <v>0.801249</v>
      </c>
      <c r="E384" t="n">
        <v>0.492833</v>
      </c>
      <c r="F384" t="n">
        <v>0.479365</v>
      </c>
      <c r="G384" t="n">
        <v>0.797627</v>
      </c>
      <c r="H384" t="n">
        <v>0.63048</v>
      </c>
      <c r="I384" t="n">
        <v>0.561799</v>
      </c>
      <c r="J384" t="n">
        <v>1.261734</v>
      </c>
      <c r="K384" t="n">
        <v>0</v>
      </c>
      <c r="L384" t="n">
        <v>0.0003</v>
      </c>
      <c r="M384" t="n">
        <v>0.48621</v>
      </c>
    </row>
    <row r="385">
      <c r="A385" t="inlineStr">
        <is>
          <t>opt-adamw-lr0.0003</t>
        </is>
      </c>
      <c r="B385" t="n">
        <v>4</v>
      </c>
      <c r="C385" t="n">
        <v>0.447435</v>
      </c>
      <c r="D385" t="n">
        <v>0.813474</v>
      </c>
      <c r="E385" t="n">
        <v>0.461802</v>
      </c>
      <c r="F385" t="n">
        <v>0.453514</v>
      </c>
      <c r="G385" t="n">
        <v>0.8089</v>
      </c>
      <c r="H385" t="n">
        <v>0.665592</v>
      </c>
      <c r="I385" t="n">
        <v>0.603779</v>
      </c>
      <c r="J385" t="n">
        <v>1.340971</v>
      </c>
      <c r="K385" t="n">
        <v>0</v>
      </c>
      <c r="L385" t="n">
        <v>0.0003</v>
      </c>
      <c r="M385" t="n">
        <v>0.492169</v>
      </c>
    </row>
    <row r="386">
      <c r="A386" t="inlineStr">
        <is>
          <t>opt-adamw-lr0.0003</t>
        </is>
      </c>
      <c r="B386" t="n">
        <v>5</v>
      </c>
      <c r="C386" t="n">
        <v>0.427015</v>
      </c>
      <c r="D386" t="n">
        <v>0.822725</v>
      </c>
      <c r="E386" t="n">
        <v>0.438273</v>
      </c>
      <c r="F386" t="n">
        <v>0.433491</v>
      </c>
      <c r="G386" t="n">
        <v>0.818259</v>
      </c>
      <c r="H386" t="n">
        <v>0.663125</v>
      </c>
      <c r="I386" t="n">
        <v>0.640576</v>
      </c>
      <c r="J386" t="n">
        <v>1.459909</v>
      </c>
      <c r="K386" t="n">
        <v>0</v>
      </c>
      <c r="L386" t="n">
        <v>0.0003</v>
      </c>
      <c r="M386" t="n">
        <v>0.493843</v>
      </c>
    </row>
    <row r="387">
      <c r="A387" t="inlineStr">
        <is>
          <t>opt-adamw-lr0.0003</t>
        </is>
      </c>
      <c r="B387" t="n">
        <v>6</v>
      </c>
      <c r="C387" t="n">
        <v>0.41057</v>
      </c>
      <c r="D387" t="n">
        <v>0.829892</v>
      </c>
      <c r="E387" t="n">
        <v>0.419295</v>
      </c>
      <c r="F387" t="n">
        <v>0.418348</v>
      </c>
      <c r="G387" t="n">
        <v>0.825251</v>
      </c>
      <c r="H387" t="n">
        <v>0.699786</v>
      </c>
      <c r="I387" t="n">
        <v>0.680515</v>
      </c>
      <c r="J387" t="n">
        <v>1.533107</v>
      </c>
      <c r="K387" t="n">
        <v>0</v>
      </c>
      <c r="L387" t="n">
        <v>0.0003</v>
      </c>
      <c r="M387" t="n">
        <v>0.485545</v>
      </c>
    </row>
    <row r="388">
      <c r="A388" t="inlineStr">
        <is>
          <t>opt-adamw-lr0.0003</t>
        </is>
      </c>
      <c r="B388" t="n">
        <v>7</v>
      </c>
      <c r="C388" t="n">
        <v>0.394594</v>
      </c>
      <c r="D388" t="n">
        <v>0.8370570000000001</v>
      </c>
      <c r="E388" t="n">
        <v>0.403692</v>
      </c>
      <c r="F388" t="n">
        <v>0.402897</v>
      </c>
      <c r="G388" t="n">
        <v>0.831695</v>
      </c>
      <c r="H388" t="n">
        <v>0.715114</v>
      </c>
      <c r="I388" t="n">
        <v>0.719124</v>
      </c>
      <c r="J388" t="n">
        <v>1.600361</v>
      </c>
      <c r="K388" t="n">
        <v>0</v>
      </c>
      <c r="L388" t="n">
        <v>0.0003</v>
      </c>
      <c r="M388" t="n">
        <v>0.483813</v>
      </c>
    </row>
    <row r="389">
      <c r="A389" t="inlineStr">
        <is>
          <t>opt-adamw-lr0.0003</t>
        </is>
      </c>
      <c r="B389" t="n">
        <v>8</v>
      </c>
      <c r="C389" t="n">
        <v>0.385089</v>
      </c>
      <c r="D389" t="n">
        <v>0.839899</v>
      </c>
      <c r="E389" t="n">
        <v>0.390783</v>
      </c>
      <c r="F389" t="n">
        <v>0.393389</v>
      </c>
      <c r="G389" t="n">
        <v>0.834427</v>
      </c>
      <c r="H389" t="n">
        <v>0.704421</v>
      </c>
      <c r="I389" t="n">
        <v>0.742147</v>
      </c>
      <c r="J389" t="n">
        <v>1.64973</v>
      </c>
      <c r="K389" t="n">
        <v>0</v>
      </c>
      <c r="L389" t="n">
        <v>0.0003</v>
      </c>
      <c r="M389" t="n">
        <v>0.496923</v>
      </c>
    </row>
    <row r="390">
      <c r="A390" t="inlineStr">
        <is>
          <t>opt-adamw-lr0.0003</t>
        </is>
      </c>
      <c r="B390" t="n">
        <v>9</v>
      </c>
      <c r="C390" t="n">
        <v>0.371353</v>
      </c>
      <c r="D390" t="n">
        <v>0.84758</v>
      </c>
      <c r="E390" t="n">
        <v>0.379155</v>
      </c>
      <c r="F390" t="n">
        <v>0.380693</v>
      </c>
      <c r="G390" t="n">
        <v>0.841441</v>
      </c>
      <c r="H390" t="n">
        <v>0.7167210000000001</v>
      </c>
      <c r="I390" t="n">
        <v>0.785301</v>
      </c>
      <c r="J390" t="n">
        <v>1.973009</v>
      </c>
      <c r="K390" t="n">
        <v>0</v>
      </c>
      <c r="L390" t="n">
        <v>0.0003</v>
      </c>
      <c r="M390" t="n">
        <v>0.487639</v>
      </c>
    </row>
    <row r="391">
      <c r="A391" t="inlineStr">
        <is>
          <t>opt-adamw-lr0.0003</t>
        </is>
      </c>
      <c r="B391" t="n">
        <v>10</v>
      </c>
      <c r="C391" t="n">
        <v>0.361413</v>
      </c>
      <c r="D391" t="n">
        <v>0.8524929999999999</v>
      </c>
      <c r="E391" t="n">
        <v>0.368976</v>
      </c>
      <c r="F391" t="n">
        <v>0.370281</v>
      </c>
      <c r="G391" t="n">
        <v>0.847647</v>
      </c>
      <c r="H391" t="n">
        <v>0.745974</v>
      </c>
      <c r="I391" t="n">
        <v>0.815072</v>
      </c>
      <c r="J391" t="n">
        <v>1.823418</v>
      </c>
      <c r="K391" t="n">
        <v>0</v>
      </c>
      <c r="L391" t="n">
        <v>0.0003</v>
      </c>
      <c r="M391" t="n">
        <v>0.485014</v>
      </c>
    </row>
    <row r="392">
      <c r="A392" t="inlineStr">
        <is>
          <t>opt-adamw-lr0.0003</t>
        </is>
      </c>
      <c r="B392" t="n">
        <v>11</v>
      </c>
      <c r="C392" t="n">
        <v>0.353175</v>
      </c>
      <c r="D392" t="n">
        <v>0.856019</v>
      </c>
      <c r="E392" t="n">
        <v>0.359464</v>
      </c>
      <c r="F392" t="n">
        <v>0.362419</v>
      </c>
      <c r="G392" t="n">
        <v>0.850638</v>
      </c>
      <c r="H392" t="n">
        <v>0.73877</v>
      </c>
      <c r="I392" t="n">
        <v>0.812851</v>
      </c>
      <c r="J392" t="n">
        <v>1.691937</v>
      </c>
      <c r="K392" t="n">
        <v>0</v>
      </c>
      <c r="L392" t="n">
        <v>0.0003</v>
      </c>
      <c r="M392" t="n">
        <v>0.486915</v>
      </c>
    </row>
    <row r="393">
      <c r="A393" t="inlineStr">
        <is>
          <t>opt-adamw-lr0.0003</t>
        </is>
      </c>
      <c r="B393" t="n">
        <v>12</v>
      </c>
      <c r="C393" t="n">
        <v>0.344763</v>
      </c>
      <c r="D393" t="n">
        <v>0.859359</v>
      </c>
      <c r="E393" t="n">
        <v>0.351408</v>
      </c>
      <c r="F393" t="n">
        <v>0.355015</v>
      </c>
      <c r="G393" t="n">
        <v>0.853456</v>
      </c>
      <c r="H393" t="n">
        <v>0.744202</v>
      </c>
      <c r="I393" t="n">
        <v>0.830753</v>
      </c>
      <c r="J393" t="n">
        <v>2.814265</v>
      </c>
      <c r="K393" t="n">
        <v>0</v>
      </c>
      <c r="L393" t="n">
        <v>0.0003</v>
      </c>
      <c r="M393" t="n">
        <v>0.491267</v>
      </c>
    </row>
    <row r="394">
      <c r="A394" t="inlineStr">
        <is>
          <t>opt-adamw-lr0.0003</t>
        </is>
      </c>
      <c r="B394" t="n">
        <v>13</v>
      </c>
      <c r="C394" t="n">
        <v>0.339326</v>
      </c>
      <c r="D394" t="n">
        <v>0.862021</v>
      </c>
      <c r="E394" t="n">
        <v>0.344323</v>
      </c>
      <c r="F394" t="n">
        <v>0.349641</v>
      </c>
      <c r="G394" t="n">
        <v>0.855952</v>
      </c>
      <c r="H394" t="n">
        <v>0.758559</v>
      </c>
      <c r="I394" t="n">
        <v>0.873429</v>
      </c>
      <c r="J394" t="n">
        <v>2.189448</v>
      </c>
      <c r="K394" t="n">
        <v>0</v>
      </c>
      <c r="L394" t="n">
        <v>0.0003</v>
      </c>
      <c r="M394" t="n">
        <v>0.495809</v>
      </c>
    </row>
    <row r="395">
      <c r="A395" t="inlineStr">
        <is>
          <t>opt-adamw-lr0.0003</t>
        </is>
      </c>
      <c r="B395" t="n">
        <v>14</v>
      </c>
      <c r="C395" t="n">
        <v>0.335404</v>
      </c>
      <c r="D395" t="n">
        <v>0.862715</v>
      </c>
      <c r="E395" t="n">
        <v>0.337356</v>
      </c>
      <c r="F395" t="n">
        <v>0.345846</v>
      </c>
      <c r="G395" t="n">
        <v>0.8571029999999999</v>
      </c>
      <c r="H395" t="n">
        <v>0.75423</v>
      </c>
      <c r="I395" t="n">
        <v>0.875108</v>
      </c>
      <c r="J395" t="n">
        <v>2.009995</v>
      </c>
      <c r="K395" t="n">
        <v>0</v>
      </c>
      <c r="L395" t="n">
        <v>0.0003</v>
      </c>
      <c r="M395" t="n">
        <v>0.485039</v>
      </c>
    </row>
    <row r="396">
      <c r="A396" t="inlineStr">
        <is>
          <t>opt-adamw-lr0.0003</t>
        </is>
      </c>
      <c r="B396" t="n">
        <v>15</v>
      </c>
      <c r="C396" t="n">
        <v>0.327668</v>
      </c>
      <c r="D396" t="n">
        <v>0.866803</v>
      </c>
      <c r="E396" t="n">
        <v>0.331655</v>
      </c>
      <c r="F396" t="n">
        <v>0.337966</v>
      </c>
      <c r="G396" t="n">
        <v>0.861524</v>
      </c>
      <c r="H396" t="n">
        <v>0.764722</v>
      </c>
      <c r="I396" t="n">
        <v>0.913262</v>
      </c>
      <c r="J396" t="n">
        <v>2.403452</v>
      </c>
      <c r="K396" t="n">
        <v>0</v>
      </c>
      <c r="L396" t="n">
        <v>0.0003</v>
      </c>
      <c r="M396" t="n">
        <v>0.502215</v>
      </c>
    </row>
    <row r="397">
      <c r="A397" t="inlineStr">
        <is>
          <t>opt-adamw-lr0.0003</t>
        </is>
      </c>
      <c r="B397" t="n">
        <v>16</v>
      </c>
      <c r="C397" t="n">
        <v>0.317692</v>
      </c>
      <c r="D397" t="n">
        <v>0.8720250000000001</v>
      </c>
      <c r="E397" t="n">
        <v>0.325656</v>
      </c>
      <c r="F397" t="n">
        <v>0.328625</v>
      </c>
      <c r="G397" t="n">
        <v>0.865945</v>
      </c>
      <c r="H397" t="n">
        <v>0.77118</v>
      </c>
      <c r="I397" t="n">
        <v>0.93553</v>
      </c>
      <c r="J397" t="n">
        <v>1.911966</v>
      </c>
      <c r="K397" t="n">
        <v>0</v>
      </c>
      <c r="L397" t="n">
        <v>0.0003</v>
      </c>
      <c r="M397" t="n">
        <v>0.507</v>
      </c>
    </row>
    <row r="398">
      <c r="A398" t="inlineStr">
        <is>
          <t>opt-adamw-lr0.0003</t>
        </is>
      </c>
      <c r="B398" t="n">
        <v>17</v>
      </c>
      <c r="C398" t="n">
        <v>0.317904</v>
      </c>
      <c r="D398" t="n">
        <v>0.871738</v>
      </c>
      <c r="E398" t="n">
        <v>0.320259</v>
      </c>
      <c r="F398" t="n">
        <v>0.329196</v>
      </c>
      <c r="G398" t="n">
        <v>0.8654500000000001</v>
      </c>
      <c r="H398" t="n">
        <v>0.768697</v>
      </c>
      <c r="I398" t="n">
        <v>0.951995</v>
      </c>
      <c r="J398" t="n">
        <v>2.143745</v>
      </c>
      <c r="K398" t="n">
        <v>0</v>
      </c>
      <c r="L398" t="n">
        <v>0.0003</v>
      </c>
      <c r="M398" t="n">
        <v>0.488511</v>
      </c>
    </row>
    <row r="399">
      <c r="A399" t="inlineStr">
        <is>
          <t>opt-adamw-lr0.0003</t>
        </is>
      </c>
      <c r="B399" t="n">
        <v>18</v>
      </c>
      <c r="C399" t="n">
        <v>0.308311</v>
      </c>
      <c r="D399" t="n">
        <v>0.877546</v>
      </c>
      <c r="E399" t="n">
        <v>0.315675</v>
      </c>
      <c r="F399" t="n">
        <v>0.320147</v>
      </c>
      <c r="G399" t="n">
        <v>0.870571</v>
      </c>
      <c r="H399" t="n">
        <v>0.783704</v>
      </c>
      <c r="I399" t="n">
        <v>0.962782</v>
      </c>
      <c r="J399" t="n">
        <v>2.290089</v>
      </c>
      <c r="K399" t="n">
        <v>0</v>
      </c>
      <c r="L399" t="n">
        <v>0.0003</v>
      </c>
      <c r="M399" t="n">
        <v>0.498076</v>
      </c>
    </row>
    <row r="400">
      <c r="A400" t="inlineStr">
        <is>
          <t>opt-adamw-lr0.0003</t>
        </is>
      </c>
      <c r="B400" t="n">
        <v>19</v>
      </c>
      <c r="C400" t="n">
        <v>0.3116</v>
      </c>
      <c r="D400" t="n">
        <v>0.872754</v>
      </c>
      <c r="E400" t="n">
        <v>0.310927</v>
      </c>
      <c r="F400" t="n">
        <v>0.323279</v>
      </c>
      <c r="G400" t="n">
        <v>0.867215</v>
      </c>
      <c r="H400" t="n">
        <v>0.7776189999999999</v>
      </c>
      <c r="I400" t="n">
        <v>0.969777</v>
      </c>
      <c r="J400" t="n">
        <v>2.684887</v>
      </c>
      <c r="K400" t="n">
        <v>0</v>
      </c>
      <c r="L400" t="n">
        <v>0.0003</v>
      </c>
      <c r="M400" t="n">
        <v>0.488723</v>
      </c>
    </row>
    <row r="401">
      <c r="A401" t="inlineStr">
        <is>
          <t>opt-adamw-lr0.0003</t>
        </is>
      </c>
      <c r="B401" t="n">
        <v>20</v>
      </c>
      <c r="C401" t="n">
        <v>0.299315</v>
      </c>
      <c r="D401" t="n">
        <v>0.881231</v>
      </c>
      <c r="E401" t="n">
        <v>0.306336</v>
      </c>
      <c r="F401" t="n">
        <v>0.310772</v>
      </c>
      <c r="G401" t="n">
        <v>0.8748089999999999</v>
      </c>
      <c r="H401" t="n">
        <v>0.792202</v>
      </c>
      <c r="I401" t="n">
        <v>0.972889</v>
      </c>
      <c r="J401" t="n">
        <v>1.992917</v>
      </c>
      <c r="K401" t="n">
        <v>0</v>
      </c>
      <c r="L401" t="n">
        <v>0.0003</v>
      </c>
      <c r="M401" t="n">
        <v>0.498055</v>
      </c>
    </row>
    <row r="402">
      <c r="A402" t="inlineStr">
        <is>
          <t>opt-adamw-lr0.001</t>
        </is>
      </c>
      <c r="B402" t="n">
        <v>1</v>
      </c>
      <c r="C402" t="n">
        <v>0.485487</v>
      </c>
      <c r="D402" t="n">
        <v>0.794687</v>
      </c>
      <c r="E402" t="n">
        <v>0.58548</v>
      </c>
      <c r="F402" t="n">
        <v>0.489171</v>
      </c>
      <c r="G402" t="n">
        <v>0.791947</v>
      </c>
      <c r="H402" t="n">
        <v>0.620931</v>
      </c>
      <c r="I402" t="n">
        <v>0.565033</v>
      </c>
      <c r="J402" t="n">
        <v>2.871076</v>
      </c>
      <c r="K402" t="n">
        <v>0</v>
      </c>
      <c r="L402" t="n">
        <v>0.001</v>
      </c>
      <c r="M402" t="n">
        <v>0.487306</v>
      </c>
    </row>
    <row r="403">
      <c r="A403" t="inlineStr">
        <is>
          <t>opt-adamw-lr0.001</t>
        </is>
      </c>
      <c r="B403" t="n">
        <v>2</v>
      </c>
      <c r="C403" t="n">
        <v>0.419369</v>
      </c>
      <c r="D403" t="n">
        <v>0.8267139999999999</v>
      </c>
      <c r="E403" t="n">
        <v>0.454196</v>
      </c>
      <c r="F403" t="n">
        <v>0.425546</v>
      </c>
      <c r="G403" t="n">
        <v>0.822766</v>
      </c>
      <c r="H403" t="n">
        <v>0.704714</v>
      </c>
      <c r="I403" t="n">
        <v>0.669447</v>
      </c>
      <c r="J403" t="n">
        <v>1.60317</v>
      </c>
      <c r="K403" t="n">
        <v>0</v>
      </c>
      <c r="L403" t="n">
        <v>0.001</v>
      </c>
      <c r="M403" t="n">
        <v>0.491266</v>
      </c>
    </row>
    <row r="404">
      <c r="A404" t="inlineStr">
        <is>
          <t>opt-adamw-lr0.001</t>
        </is>
      </c>
      <c r="B404" t="n">
        <v>3</v>
      </c>
      <c r="C404" t="n">
        <v>0.381467</v>
      </c>
      <c r="D404" t="n">
        <v>0.842435</v>
      </c>
      <c r="E404" t="n">
        <v>0.403419</v>
      </c>
      <c r="F404" t="n">
        <v>0.389167</v>
      </c>
      <c r="G404" t="n">
        <v>0.838439</v>
      </c>
      <c r="H404" t="n">
        <v>0.711687</v>
      </c>
      <c r="I404" t="n">
        <v>0.697681</v>
      </c>
      <c r="J404" t="n">
        <v>1.745091</v>
      </c>
      <c r="K404" t="n">
        <v>0</v>
      </c>
      <c r="L404" t="n">
        <v>0.001</v>
      </c>
      <c r="M404" t="n">
        <v>0.498559</v>
      </c>
    </row>
    <row r="405">
      <c r="A405" t="inlineStr">
        <is>
          <t>opt-adamw-lr0.001</t>
        </is>
      </c>
      <c r="B405" t="n">
        <v>4</v>
      </c>
      <c r="C405" t="n">
        <v>0.365901</v>
      </c>
      <c r="D405" t="n">
        <v>0.848128</v>
      </c>
      <c r="E405" t="n">
        <v>0.372301</v>
      </c>
      <c r="F405" t="n">
        <v>0.374136</v>
      </c>
      <c r="G405" t="n">
        <v>0.843732</v>
      </c>
      <c r="H405" t="n">
        <v>0.747885</v>
      </c>
      <c r="I405" t="n">
        <v>0.800424</v>
      </c>
      <c r="J405" t="n">
        <v>1.994966</v>
      </c>
      <c r="K405" t="n">
        <v>0</v>
      </c>
      <c r="L405" t="n">
        <v>0.001</v>
      </c>
      <c r="M405" t="n">
        <v>0.489752</v>
      </c>
    </row>
    <row r="406">
      <c r="A406" t="inlineStr">
        <is>
          <t>opt-adamw-lr0.001</t>
        </is>
      </c>
      <c r="B406" t="n">
        <v>5</v>
      </c>
      <c r="C406" t="n">
        <v>0.335778</v>
      </c>
      <c r="D406" t="n">
        <v>0.861975</v>
      </c>
      <c r="E406" t="n">
        <v>0.349221</v>
      </c>
      <c r="F406" t="n">
        <v>0.345295</v>
      </c>
      <c r="G406" t="n">
        <v>0.856683</v>
      </c>
      <c r="H406" t="n">
        <v>0.737878</v>
      </c>
      <c r="I406" t="n">
        <v>0.807644</v>
      </c>
      <c r="J406" t="n">
        <v>1.926608</v>
      </c>
      <c r="K406" t="n">
        <v>0</v>
      </c>
      <c r="L406" t="n">
        <v>0.001</v>
      </c>
      <c r="M406" t="n">
        <v>0.489541</v>
      </c>
    </row>
    <row r="407">
      <c r="A407" t="inlineStr">
        <is>
          <t>opt-adamw-lr0.001</t>
        </is>
      </c>
      <c r="B407" t="n">
        <v>6</v>
      </c>
      <c r="C407" t="n">
        <v>0.333972</v>
      </c>
      <c r="D407" t="n">
        <v>0.8629599999999999</v>
      </c>
      <c r="E407" t="n">
        <v>0.332538</v>
      </c>
      <c r="F407" t="n">
        <v>0.343323</v>
      </c>
      <c r="G407" t="n">
        <v>0.8587590000000001</v>
      </c>
      <c r="H407" t="n">
        <v>0.7817229999999999</v>
      </c>
      <c r="I407" t="n">
        <v>0.860938</v>
      </c>
      <c r="J407" t="n">
        <v>2.102402</v>
      </c>
      <c r="K407" t="n">
        <v>0</v>
      </c>
      <c r="L407" t="n">
        <v>0.001</v>
      </c>
      <c r="M407" t="n">
        <v>0.505536</v>
      </c>
    </row>
    <row r="408">
      <c r="A408" t="inlineStr">
        <is>
          <t>opt-adamw-lr0.001</t>
        </is>
      </c>
      <c r="B408" t="n">
        <v>7</v>
      </c>
      <c r="C408" t="n">
        <v>0.304332</v>
      </c>
      <c r="D408" t="n">
        <v>0.876398</v>
      </c>
      <c r="E408" t="n">
        <v>0.316467</v>
      </c>
      <c r="F408" t="n">
        <v>0.315997</v>
      </c>
      <c r="G408" t="n">
        <v>0.869936</v>
      </c>
      <c r="H408" t="n">
        <v>0.790373</v>
      </c>
      <c r="I408" t="n">
        <v>0.8441109999999999</v>
      </c>
      <c r="J408" t="n">
        <v>2.214983</v>
      </c>
      <c r="K408" t="n">
        <v>0</v>
      </c>
      <c r="L408" t="n">
        <v>0.001</v>
      </c>
      <c r="M408" t="n">
        <v>0.493678</v>
      </c>
    </row>
    <row r="409">
      <c r="A409" t="inlineStr">
        <is>
          <t>opt-adamw-lr0.001</t>
        </is>
      </c>
      <c r="B409" t="n">
        <v>8</v>
      </c>
      <c r="C409" t="n">
        <v>0.295796</v>
      </c>
      <c r="D409" t="n">
        <v>0.879857</v>
      </c>
      <c r="E409" t="n">
        <v>0.305222</v>
      </c>
      <c r="F409" t="n">
        <v>0.307528</v>
      </c>
      <c r="G409" t="n">
        <v>0.873454</v>
      </c>
      <c r="H409" t="n">
        <v>0.796291</v>
      </c>
      <c r="I409" t="n">
        <v>0.857143</v>
      </c>
      <c r="J409" t="n">
        <v>2.352501</v>
      </c>
      <c r="K409" t="n">
        <v>0</v>
      </c>
      <c r="L409" t="n">
        <v>0.001</v>
      </c>
      <c r="M409" t="n">
        <v>0.49339</v>
      </c>
    </row>
    <row r="410">
      <c r="A410" t="inlineStr">
        <is>
          <t>opt-adamw-lr0.001</t>
        </is>
      </c>
      <c r="B410" t="n">
        <v>9</v>
      </c>
      <c r="C410" t="n">
        <v>0.281853</v>
      </c>
      <c r="D410" t="n">
        <v>0.8863220000000001</v>
      </c>
      <c r="E410" t="n">
        <v>0.294536</v>
      </c>
      <c r="F410" t="n">
        <v>0.294435</v>
      </c>
      <c r="G410" t="n">
        <v>0.880521</v>
      </c>
      <c r="H410" t="n">
        <v>0.794749</v>
      </c>
      <c r="I410" t="n">
        <v>0.9241239999999999</v>
      </c>
      <c r="J410" t="n">
        <v>2.000748</v>
      </c>
      <c r="K410" t="n">
        <v>0</v>
      </c>
      <c r="L410" t="n">
        <v>0.001</v>
      </c>
      <c r="M410" t="n">
        <v>0.515091</v>
      </c>
    </row>
    <row r="411">
      <c r="A411" t="inlineStr">
        <is>
          <t>opt-adamw-lr0.001</t>
        </is>
      </c>
      <c r="B411" t="n">
        <v>10</v>
      </c>
      <c r="C411" t="n">
        <v>0.277899</v>
      </c>
      <c r="D411" t="n">
        <v>0.886679</v>
      </c>
      <c r="E411" t="n">
        <v>0.285598</v>
      </c>
      <c r="F411" t="n">
        <v>0.291688</v>
      </c>
      <c r="G411" t="n">
        <v>0.881177</v>
      </c>
      <c r="H411" t="n">
        <v>0.807148</v>
      </c>
      <c r="I411" t="n">
        <v>0.926449</v>
      </c>
      <c r="J411" t="n">
        <v>2.070564</v>
      </c>
      <c r="K411" t="n">
        <v>0</v>
      </c>
      <c r="L411" t="n">
        <v>0.001</v>
      </c>
      <c r="M411" t="n">
        <v>0.488597</v>
      </c>
    </row>
    <row r="412">
      <c r="A412" t="inlineStr">
        <is>
          <t>opt-adamw-lr0.001</t>
        </is>
      </c>
      <c r="B412" t="n">
        <v>11</v>
      </c>
      <c r="C412" t="n">
        <v>0.270931</v>
      </c>
      <c r="D412" t="n">
        <v>0.8905650000000001</v>
      </c>
      <c r="E412" t="n">
        <v>0.276165</v>
      </c>
      <c r="F412" t="n">
        <v>0.284375</v>
      </c>
      <c r="G412" t="n">
        <v>0.884985</v>
      </c>
      <c r="H412" t="n">
        <v>0.8058419999999999</v>
      </c>
      <c r="I412" t="n">
        <v>0.9056650000000001</v>
      </c>
      <c r="J412" t="n">
        <v>1.666315</v>
      </c>
      <c r="K412" t="n">
        <v>0</v>
      </c>
      <c r="L412" t="n">
        <v>0.001</v>
      </c>
      <c r="M412" t="n">
        <v>0.491648</v>
      </c>
    </row>
    <row r="413">
      <c r="A413" t="inlineStr">
        <is>
          <t>opt-adamw-lr0.001</t>
        </is>
      </c>
      <c r="B413" t="n">
        <v>12</v>
      </c>
      <c r="C413" t="n">
        <v>0.26628</v>
      </c>
      <c r="D413" t="n">
        <v>0.89191</v>
      </c>
      <c r="E413" t="n">
        <v>0.269154</v>
      </c>
      <c r="F413" t="n">
        <v>0.282007</v>
      </c>
      <c r="G413" t="n">
        <v>0.884975</v>
      </c>
      <c r="H413" t="n">
        <v>0.809002</v>
      </c>
      <c r="I413" t="n">
        <v>0.930679</v>
      </c>
      <c r="J413" t="n">
        <v>2.740454</v>
      </c>
      <c r="K413" t="n">
        <v>0</v>
      </c>
      <c r="L413" t="n">
        <v>0.001</v>
      </c>
      <c r="M413" t="n">
        <v>0.486263</v>
      </c>
    </row>
    <row r="414">
      <c r="A414" t="inlineStr">
        <is>
          <t>opt-adamw-lr0.001</t>
        </is>
      </c>
      <c r="B414" t="n">
        <v>13</v>
      </c>
      <c r="C414" t="n">
        <v>0.260962</v>
      </c>
      <c r="D414" t="n">
        <v>0.8953410000000001</v>
      </c>
      <c r="E414" t="n">
        <v>0.263786</v>
      </c>
      <c r="F414" t="n">
        <v>0.277069</v>
      </c>
      <c r="G414" t="n">
        <v>0.888471</v>
      </c>
      <c r="H414" t="n">
        <v>0.826105</v>
      </c>
      <c r="I414" t="n">
        <v>0.956596</v>
      </c>
      <c r="J414" t="n">
        <v>2.207036</v>
      </c>
      <c r="K414" t="n">
        <v>0</v>
      </c>
      <c r="L414" t="n">
        <v>0.001</v>
      </c>
      <c r="M414" t="n">
        <v>0.504007</v>
      </c>
    </row>
    <row r="415">
      <c r="A415" t="inlineStr">
        <is>
          <t>opt-adamw-lr0.001</t>
        </is>
      </c>
      <c r="B415" t="n">
        <v>14</v>
      </c>
      <c r="C415" t="n">
        <v>0.24849</v>
      </c>
      <c r="D415" t="n">
        <v>0.90111</v>
      </c>
      <c r="E415" t="n">
        <v>0.25785</v>
      </c>
      <c r="F415" t="n">
        <v>0.264788</v>
      </c>
      <c r="G415" t="n">
        <v>0.893591</v>
      </c>
      <c r="H415" t="n">
        <v>0.826932</v>
      </c>
      <c r="I415" t="n">
        <v>0.949964</v>
      </c>
      <c r="J415" t="n">
        <v>2.225491</v>
      </c>
      <c r="K415" t="n">
        <v>0</v>
      </c>
      <c r="L415" t="n">
        <v>0.001</v>
      </c>
      <c r="M415" t="n">
        <v>0.501653</v>
      </c>
    </row>
    <row r="416">
      <c r="A416" t="inlineStr">
        <is>
          <t>opt-adamw-lr0.001</t>
        </is>
      </c>
      <c r="B416" t="n">
        <v>15</v>
      </c>
      <c r="C416" t="n">
        <v>0.252344</v>
      </c>
      <c r="D416" t="n">
        <v>0.897544</v>
      </c>
      <c r="E416" t="n">
        <v>0.253586</v>
      </c>
      <c r="F416" t="n">
        <v>0.268428</v>
      </c>
      <c r="G416" t="n">
        <v>0.890869</v>
      </c>
      <c r="H416" t="n">
        <v>0.8269069999999999</v>
      </c>
      <c r="I416" t="n">
        <v>0.9910910000000001</v>
      </c>
      <c r="J416" t="n">
        <v>2.219388</v>
      </c>
      <c r="K416" t="n">
        <v>0</v>
      </c>
      <c r="L416" t="n">
        <v>0.001</v>
      </c>
      <c r="M416" t="n">
        <v>0.488659</v>
      </c>
    </row>
    <row r="417">
      <c r="A417" t="inlineStr">
        <is>
          <t>opt-adamw-lr0.001</t>
        </is>
      </c>
      <c r="B417" t="n">
        <v>16</v>
      </c>
      <c r="C417" t="n">
        <v>0.253594</v>
      </c>
      <c r="D417" t="n">
        <v>0.897474</v>
      </c>
      <c r="E417" t="n">
        <v>0.248159</v>
      </c>
      <c r="F417" t="n">
        <v>0.271631</v>
      </c>
      <c r="G417" t="n">
        <v>0.88931</v>
      </c>
      <c r="H417" t="n">
        <v>0.831005</v>
      </c>
      <c r="I417" t="n">
        <v>0.97553</v>
      </c>
      <c r="J417" t="n">
        <v>2.092739</v>
      </c>
      <c r="K417" t="n">
        <v>0</v>
      </c>
      <c r="L417" t="n">
        <v>0.001</v>
      </c>
      <c r="M417" t="n">
        <v>0.491645</v>
      </c>
    </row>
    <row r="418">
      <c r="A418" t="inlineStr">
        <is>
          <t>opt-adamw-lr0.001</t>
        </is>
      </c>
      <c r="B418" t="n">
        <v>17</v>
      </c>
      <c r="C418" t="n">
        <v>0.243167</v>
      </c>
      <c r="D418" t="n">
        <v>0.901572</v>
      </c>
      <c r="E418" t="n">
        <v>0.244325</v>
      </c>
      <c r="F418" t="n">
        <v>0.261472</v>
      </c>
      <c r="G418" t="n">
        <v>0.893914</v>
      </c>
      <c r="H418" t="n">
        <v>0.835495</v>
      </c>
      <c r="I418" t="n">
        <v>0.987232</v>
      </c>
      <c r="J418" t="n">
        <v>2.056288</v>
      </c>
      <c r="K418" t="n">
        <v>0</v>
      </c>
      <c r="L418" t="n">
        <v>0.001</v>
      </c>
      <c r="M418" t="n">
        <v>0.500753</v>
      </c>
    </row>
    <row r="419">
      <c r="A419" t="inlineStr">
        <is>
          <t>opt-adamw-lr0.001</t>
        </is>
      </c>
      <c r="B419" t="n">
        <v>18</v>
      </c>
      <c r="C419" t="n">
        <v>0.229229</v>
      </c>
      <c r="D419" t="n">
        <v>0.909135</v>
      </c>
      <c r="E419" t="n">
        <v>0.242294</v>
      </c>
      <c r="F419" t="n">
        <v>0.248432</v>
      </c>
      <c r="G419" t="n">
        <v>0.900529</v>
      </c>
      <c r="H419" t="n">
        <v>0.839492</v>
      </c>
      <c r="I419" t="n">
        <v>1.020236</v>
      </c>
      <c r="J419" t="n">
        <v>2.262005</v>
      </c>
      <c r="K419" t="n">
        <v>0</v>
      </c>
      <c r="L419" t="n">
        <v>0.001</v>
      </c>
      <c r="M419" t="n">
        <v>0.508132</v>
      </c>
    </row>
    <row r="420">
      <c r="A420" t="inlineStr">
        <is>
          <t>opt-adamw-lr0.001</t>
        </is>
      </c>
      <c r="B420" t="n">
        <v>19</v>
      </c>
      <c r="C420" t="n">
        <v>0.230606</v>
      </c>
      <c r="D420" t="n">
        <v>0.9081669999999999</v>
      </c>
      <c r="E420" t="n">
        <v>0.237232</v>
      </c>
      <c r="F420" t="n">
        <v>0.250922</v>
      </c>
      <c r="G420" t="n">
        <v>0.8985610000000001</v>
      </c>
      <c r="H420" t="n">
        <v>0.842146</v>
      </c>
      <c r="I420" t="n">
        <v>1.002144</v>
      </c>
      <c r="J420" t="n">
        <v>2.114231</v>
      </c>
      <c r="K420" t="n">
        <v>0</v>
      </c>
      <c r="L420" t="n">
        <v>0.001</v>
      </c>
      <c r="M420" t="n">
        <v>0.495294</v>
      </c>
    </row>
    <row r="421">
      <c r="A421" t="inlineStr">
        <is>
          <t>opt-adamw-lr0.001</t>
        </is>
      </c>
      <c r="B421" t="n">
        <v>20</v>
      </c>
      <c r="C421" t="n">
        <v>0.231315</v>
      </c>
      <c r="D421" t="n">
        <v>0.90708</v>
      </c>
      <c r="E421" t="n">
        <v>0.233993</v>
      </c>
      <c r="F421" t="n">
        <v>0.250927</v>
      </c>
      <c r="G421" t="n">
        <v>0.900024</v>
      </c>
      <c r="H421" t="n">
        <v>0.8442730000000001</v>
      </c>
      <c r="I421" t="n">
        <v>1.011504</v>
      </c>
      <c r="J421" t="n">
        <v>2.394436</v>
      </c>
      <c r="K421" t="n">
        <v>0</v>
      </c>
      <c r="L421" t="n">
        <v>0.001</v>
      </c>
      <c r="M421" t="n">
        <v>0.495833</v>
      </c>
    </row>
    <row r="422">
      <c r="A422" t="inlineStr">
        <is>
          <t>opt-adamw-lr0.003</t>
        </is>
      </c>
      <c r="B422" t="n">
        <v>1</v>
      </c>
      <c r="C422" t="n">
        <v>0.431992</v>
      </c>
      <c r="D422" t="n">
        <v>0.817723</v>
      </c>
      <c r="E422" t="n">
        <v>0.529092</v>
      </c>
      <c r="F422" t="n">
        <v>0.435789</v>
      </c>
      <c r="G422" t="n">
        <v>0.816452</v>
      </c>
      <c r="H422" t="n">
        <v>0.670964</v>
      </c>
      <c r="I422" t="n">
        <v>0.6039639999999999</v>
      </c>
      <c r="J422" t="n">
        <v>2.871076</v>
      </c>
      <c r="K422" t="n">
        <v>0</v>
      </c>
      <c r="L422" t="n">
        <v>0.003</v>
      </c>
      <c r="M422" t="n">
        <v>0.486431</v>
      </c>
    </row>
    <row r="423">
      <c r="A423" t="inlineStr">
        <is>
          <t>opt-adamw-lr0.003</t>
        </is>
      </c>
      <c r="B423" t="n">
        <v>2</v>
      </c>
      <c r="C423" t="n">
        <v>0.369331</v>
      </c>
      <c r="D423" t="n">
        <v>0.846523</v>
      </c>
      <c r="E423" t="n">
        <v>0.400949</v>
      </c>
      <c r="F423" t="n">
        <v>0.376277</v>
      </c>
      <c r="G423" t="n">
        <v>0.842817</v>
      </c>
      <c r="H423" t="n">
        <v>0.749907</v>
      </c>
      <c r="I423" t="n">
        <v>0.629775</v>
      </c>
      <c r="J423" t="n">
        <v>1.506849</v>
      </c>
      <c r="K423" t="n">
        <v>0</v>
      </c>
      <c r="L423" t="n">
        <v>0.003</v>
      </c>
      <c r="M423" t="n">
        <v>0.49452</v>
      </c>
    </row>
    <row r="424">
      <c r="A424" t="inlineStr">
        <is>
          <t>opt-adamw-lr0.003</t>
        </is>
      </c>
      <c r="B424" t="n">
        <v>3</v>
      </c>
      <c r="C424" t="n">
        <v>0.341783</v>
      </c>
      <c r="D424" t="n">
        <v>0.858496</v>
      </c>
      <c r="E424" t="n">
        <v>0.35171</v>
      </c>
      <c r="F424" t="n">
        <v>0.350411</v>
      </c>
      <c r="G424" t="n">
        <v>0.854618</v>
      </c>
      <c r="H424" t="n">
        <v>0.746511</v>
      </c>
      <c r="I424" t="n">
        <v>0.646938</v>
      </c>
      <c r="J424" t="n">
        <v>1.581296</v>
      </c>
      <c r="K424" t="n">
        <v>0</v>
      </c>
      <c r="L424" t="n">
        <v>0.003</v>
      </c>
      <c r="M424" t="n">
        <v>0.485686</v>
      </c>
    </row>
    <row r="425">
      <c r="A425" t="inlineStr">
        <is>
          <t>opt-adamw-lr0.003</t>
        </is>
      </c>
      <c r="B425" t="n">
        <v>4</v>
      </c>
      <c r="C425" t="n">
        <v>0.303045</v>
      </c>
      <c r="D425" t="n">
        <v>0.87546</v>
      </c>
      <c r="E425" t="n">
        <v>0.32111</v>
      </c>
      <c r="F425" t="n">
        <v>0.312784</v>
      </c>
      <c r="G425" t="n">
        <v>0.871636</v>
      </c>
      <c r="H425" t="n">
        <v>0.79506</v>
      </c>
      <c r="I425" t="n">
        <v>0.666247</v>
      </c>
      <c r="J425" t="n">
        <v>1.569707</v>
      </c>
      <c r="K425" t="n">
        <v>0</v>
      </c>
      <c r="L425" t="n">
        <v>0.003</v>
      </c>
      <c r="M425" t="n">
        <v>0.487741</v>
      </c>
    </row>
    <row r="426">
      <c r="A426" t="inlineStr">
        <is>
          <t>opt-adamw-lr0.003</t>
        </is>
      </c>
      <c r="B426" t="n">
        <v>5</v>
      </c>
      <c r="C426" t="n">
        <v>0.283167</v>
      </c>
      <c r="D426" t="n">
        <v>0.884313</v>
      </c>
      <c r="E426" t="n">
        <v>0.297867</v>
      </c>
      <c r="F426" t="n">
        <v>0.29453</v>
      </c>
      <c r="G426" t="n">
        <v>0.880629</v>
      </c>
      <c r="H426" t="n">
        <v>0.80676</v>
      </c>
      <c r="I426" t="n">
        <v>0.656128</v>
      </c>
      <c r="J426" t="n">
        <v>1.437762</v>
      </c>
      <c r="K426" t="n">
        <v>0</v>
      </c>
      <c r="L426" t="n">
        <v>0.003</v>
      </c>
      <c r="M426" t="n">
        <v>0.481902</v>
      </c>
    </row>
    <row r="427">
      <c r="A427" t="inlineStr">
        <is>
          <t>opt-adamw-lr0.003</t>
        </is>
      </c>
      <c r="B427" t="n">
        <v>6</v>
      </c>
      <c r="C427" t="n">
        <v>0.280269</v>
      </c>
      <c r="D427" t="n">
        <v>0.88669</v>
      </c>
      <c r="E427" t="n">
        <v>0.282954</v>
      </c>
      <c r="F427" t="n">
        <v>0.29391</v>
      </c>
      <c r="G427" t="n">
        <v>0.882092</v>
      </c>
      <c r="H427" t="n">
        <v>0.824454</v>
      </c>
      <c r="I427" t="n">
        <v>0.677937</v>
      </c>
      <c r="J427" t="n">
        <v>1.617421</v>
      </c>
      <c r="K427" t="n">
        <v>0</v>
      </c>
      <c r="L427" t="n">
        <v>0.003</v>
      </c>
      <c r="M427" t="n">
        <v>0.482945</v>
      </c>
    </row>
    <row r="428">
      <c r="A428" t="inlineStr">
        <is>
          <t>opt-adamw-lr0.003</t>
        </is>
      </c>
      <c r="B428" t="n">
        <v>7</v>
      </c>
      <c r="C428" t="n">
        <v>0.255042</v>
      </c>
      <c r="D428" t="n">
        <v>0.894634</v>
      </c>
      <c r="E428" t="n">
        <v>0.26802</v>
      </c>
      <c r="F428" t="n">
        <v>0.270209</v>
      </c>
      <c r="G428" t="n">
        <v>0.889256</v>
      </c>
      <c r="H428" t="n">
        <v>0.825901</v>
      </c>
      <c r="I428" t="n">
        <v>0.6616379999999999</v>
      </c>
      <c r="J428" t="n">
        <v>1.465314</v>
      </c>
      <c r="K428" t="n">
        <v>0</v>
      </c>
      <c r="L428" t="n">
        <v>0.003</v>
      </c>
      <c r="M428" t="n">
        <v>0.482418</v>
      </c>
    </row>
    <row r="429">
      <c r="A429" t="inlineStr">
        <is>
          <t>opt-adamw-lr0.003</t>
        </is>
      </c>
      <c r="B429" t="n">
        <v>8</v>
      </c>
      <c r="C429" t="n">
        <v>0.245919</v>
      </c>
      <c r="D429" t="n">
        <v>0.899927</v>
      </c>
      <c r="E429" t="n">
        <v>0.258734</v>
      </c>
      <c r="F429" t="n">
        <v>0.261029</v>
      </c>
      <c r="G429" t="n">
        <v>0.892935</v>
      </c>
      <c r="H429" t="n">
        <v>0.838116</v>
      </c>
      <c r="I429" t="n">
        <v>0.656868</v>
      </c>
      <c r="J429" t="n">
        <v>1.760598</v>
      </c>
      <c r="K429" t="n">
        <v>0</v>
      </c>
      <c r="L429" t="n">
        <v>0.003</v>
      </c>
      <c r="M429" t="n">
        <v>0.483554</v>
      </c>
    </row>
    <row r="430">
      <c r="A430" t="inlineStr">
        <is>
          <t>opt-adamw-lr0.003</t>
        </is>
      </c>
      <c r="B430" t="n">
        <v>9</v>
      </c>
      <c r="C430" t="n">
        <v>0.237759</v>
      </c>
      <c r="D430" t="n">
        <v>0.903689</v>
      </c>
      <c r="E430" t="n">
        <v>0.248911</v>
      </c>
      <c r="F430" t="n">
        <v>0.255024</v>
      </c>
      <c r="G430" t="n">
        <v>0.897033</v>
      </c>
      <c r="H430" t="n">
        <v>0.840496</v>
      </c>
      <c r="I430" t="n">
        <v>0.663103</v>
      </c>
      <c r="J430" t="n">
        <v>1.508315</v>
      </c>
      <c r="K430" t="n">
        <v>0</v>
      </c>
      <c r="L430" t="n">
        <v>0.003</v>
      </c>
      <c r="M430" t="n">
        <v>0.488294</v>
      </c>
    </row>
    <row r="431">
      <c r="A431" t="inlineStr">
        <is>
          <t>opt-adamw-lr0.003</t>
        </is>
      </c>
      <c r="B431" t="n">
        <v>10</v>
      </c>
      <c r="C431" t="n">
        <v>0.235547</v>
      </c>
      <c r="D431" t="n">
        <v>0.902984</v>
      </c>
      <c r="E431" t="n">
        <v>0.24229</v>
      </c>
      <c r="F431" t="n">
        <v>0.252032</v>
      </c>
      <c r="G431" t="n">
        <v>0.897582</v>
      </c>
      <c r="H431" t="n">
        <v>0.846209</v>
      </c>
      <c r="I431" t="n">
        <v>0.662637</v>
      </c>
      <c r="J431" t="n">
        <v>1.323789</v>
      </c>
      <c r="K431" t="n">
        <v>0</v>
      </c>
      <c r="L431" t="n">
        <v>0.003</v>
      </c>
      <c r="M431" t="n">
        <v>0.491759</v>
      </c>
    </row>
    <row r="432">
      <c r="A432" t="inlineStr">
        <is>
          <t>opt-adamw-lr0.003</t>
        </is>
      </c>
      <c r="B432" t="n">
        <v>11</v>
      </c>
      <c r="C432" t="n">
        <v>0.224005</v>
      </c>
      <c r="D432" t="n">
        <v>0.910122</v>
      </c>
      <c r="E432" t="n">
        <v>0.234027</v>
      </c>
      <c r="F432" t="n">
        <v>0.242033</v>
      </c>
      <c r="G432" t="n">
        <v>0.903713</v>
      </c>
      <c r="H432" t="n">
        <v>0.851453</v>
      </c>
      <c r="I432" t="n">
        <v>0.651424</v>
      </c>
      <c r="J432" t="n">
        <v>1.449178</v>
      </c>
      <c r="K432" t="n">
        <v>0</v>
      </c>
      <c r="L432" t="n">
        <v>0.003</v>
      </c>
      <c r="M432" t="n">
        <v>0.49698</v>
      </c>
    </row>
    <row r="433">
      <c r="A433" t="inlineStr">
        <is>
          <t>opt-adamw-lr0.003</t>
        </is>
      </c>
      <c r="B433" t="n">
        <v>12</v>
      </c>
      <c r="C433" t="n">
        <v>0.21943</v>
      </c>
      <c r="D433" t="n">
        <v>0.911031</v>
      </c>
      <c r="E433" t="n">
        <v>0.229457</v>
      </c>
      <c r="F433" t="n">
        <v>0.239399</v>
      </c>
      <c r="G433" t="n">
        <v>0.903477</v>
      </c>
      <c r="H433" t="n">
        <v>0.844905</v>
      </c>
      <c r="I433" t="n">
        <v>0.663407</v>
      </c>
      <c r="J433" t="n">
        <v>1.589342</v>
      </c>
      <c r="K433" t="n">
        <v>0</v>
      </c>
      <c r="L433" t="n">
        <v>0.003</v>
      </c>
      <c r="M433" t="n">
        <v>0.487889</v>
      </c>
    </row>
    <row r="434">
      <c r="A434" t="inlineStr">
        <is>
          <t>opt-adamw-lr0.003</t>
        </is>
      </c>
      <c r="B434" t="n">
        <v>13</v>
      </c>
      <c r="C434" t="n">
        <v>0.220054</v>
      </c>
      <c r="D434" t="n">
        <v>0.911232</v>
      </c>
      <c r="E434" t="n">
        <v>0.22478</v>
      </c>
      <c r="F434" t="n">
        <v>0.240138</v>
      </c>
      <c r="G434" t="n">
        <v>0.903025</v>
      </c>
      <c r="H434" t="n">
        <v>0.854042</v>
      </c>
      <c r="I434" t="n">
        <v>0.661363</v>
      </c>
      <c r="J434" t="n">
        <v>1.366965</v>
      </c>
      <c r="K434" t="n">
        <v>0</v>
      </c>
      <c r="L434" t="n">
        <v>0.003</v>
      </c>
      <c r="M434" t="n">
        <v>0.48231</v>
      </c>
    </row>
    <row r="435">
      <c r="A435" t="inlineStr">
        <is>
          <t>opt-adamw-lr0.003</t>
        </is>
      </c>
      <c r="B435" t="n">
        <v>14</v>
      </c>
      <c r="C435" t="n">
        <v>0.216635</v>
      </c>
      <c r="D435" t="n">
        <v>0.912354</v>
      </c>
      <c r="E435" t="n">
        <v>0.219818</v>
      </c>
      <c r="F435" t="n">
        <v>0.237826</v>
      </c>
      <c r="G435" t="n">
        <v>0.90565</v>
      </c>
      <c r="H435" t="n">
        <v>0.85739</v>
      </c>
      <c r="I435" t="n">
        <v>0.648965</v>
      </c>
      <c r="J435" t="n">
        <v>1.245482</v>
      </c>
      <c r="K435" t="n">
        <v>0</v>
      </c>
      <c r="L435" t="n">
        <v>0.003</v>
      </c>
      <c r="M435" t="n">
        <v>0.487686</v>
      </c>
    </row>
    <row r="436">
      <c r="A436" t="inlineStr">
        <is>
          <t>opt-adamw-lr0.003</t>
        </is>
      </c>
      <c r="B436" t="n">
        <v>15</v>
      </c>
      <c r="C436" t="n">
        <v>0.219529</v>
      </c>
      <c r="D436" t="n">
        <v>0.910953</v>
      </c>
      <c r="E436" t="n">
        <v>0.217105</v>
      </c>
      <c r="F436" t="n">
        <v>0.241507</v>
      </c>
      <c r="G436" t="n">
        <v>0.902605</v>
      </c>
      <c r="H436" t="n">
        <v>0.8575970000000001</v>
      </c>
      <c r="I436" t="n">
        <v>0.675576</v>
      </c>
      <c r="J436" t="n">
        <v>1.481933</v>
      </c>
      <c r="K436" t="n">
        <v>0</v>
      </c>
      <c r="L436" t="n">
        <v>0.003</v>
      </c>
      <c r="M436" t="n">
        <v>0.484025</v>
      </c>
    </row>
    <row r="437">
      <c r="A437" t="inlineStr">
        <is>
          <t>opt-adamw-lr0.003</t>
        </is>
      </c>
      <c r="B437" t="n">
        <v>16</v>
      </c>
      <c r="C437" t="n">
        <v>0.208718</v>
      </c>
      <c r="D437" t="n">
        <v>0.917506</v>
      </c>
      <c r="E437" t="n">
        <v>0.212131</v>
      </c>
      <c r="F437" t="n">
        <v>0.230529</v>
      </c>
      <c r="G437" t="n">
        <v>0.909081</v>
      </c>
      <c r="H437" t="n">
        <v>0.865237</v>
      </c>
      <c r="I437" t="n">
        <v>0.653133</v>
      </c>
      <c r="J437" t="n">
        <v>1.216871</v>
      </c>
      <c r="K437" t="n">
        <v>0</v>
      </c>
      <c r="L437" t="n">
        <v>0.003</v>
      </c>
      <c r="M437" t="n">
        <v>0.484929</v>
      </c>
    </row>
    <row r="438">
      <c r="A438" t="inlineStr">
        <is>
          <t>opt-adamw-lr0.003</t>
        </is>
      </c>
      <c r="B438" t="n">
        <v>17</v>
      </c>
      <c r="C438" t="n">
        <v>0.1986</v>
      </c>
      <c r="D438" t="n">
        <v>0.919623</v>
      </c>
      <c r="E438" t="n">
        <v>0.208787</v>
      </c>
      <c r="F438" t="n">
        <v>0.222214</v>
      </c>
      <c r="G438" t="n">
        <v>0.910447</v>
      </c>
      <c r="H438" t="n">
        <v>0.865135</v>
      </c>
      <c r="I438" t="n">
        <v>0.654604</v>
      </c>
      <c r="J438" t="n">
        <v>1.363663</v>
      </c>
      <c r="K438" t="n">
        <v>0</v>
      </c>
      <c r="L438" t="n">
        <v>0.003</v>
      </c>
      <c r="M438" t="n">
        <v>0.486623</v>
      </c>
    </row>
    <row r="439">
      <c r="A439" t="inlineStr">
        <is>
          <t>opt-adamw-lr0.003</t>
        </is>
      </c>
      <c r="B439" t="n">
        <v>18</v>
      </c>
      <c r="C439" t="n">
        <v>0.18756</v>
      </c>
      <c r="D439" t="n">
        <v>0.925459</v>
      </c>
      <c r="E439" t="n">
        <v>0.206941</v>
      </c>
      <c r="F439" t="n">
        <v>0.211614</v>
      </c>
      <c r="G439" t="n">
        <v>0.916977</v>
      </c>
      <c r="H439" t="n">
        <v>0.864588</v>
      </c>
      <c r="I439" t="n">
        <v>0.649698</v>
      </c>
      <c r="J439" t="n">
        <v>1.315196</v>
      </c>
      <c r="K439" t="n">
        <v>0</v>
      </c>
      <c r="L439" t="n">
        <v>0.003</v>
      </c>
      <c r="M439" t="n">
        <v>0.491555</v>
      </c>
    </row>
    <row r="440">
      <c r="A440" t="inlineStr">
        <is>
          <t>opt-adamw-lr0.003</t>
        </is>
      </c>
      <c r="B440" t="n">
        <v>19</v>
      </c>
      <c r="C440" t="n">
        <v>0.205534</v>
      </c>
      <c r="D440" t="n">
        <v>0.915261</v>
      </c>
      <c r="E440" t="n">
        <v>0.204153</v>
      </c>
      <c r="F440" t="n">
        <v>0.229692</v>
      </c>
      <c r="G440" t="n">
        <v>0.907231</v>
      </c>
      <c r="H440" t="n">
        <v>0.864939</v>
      </c>
      <c r="I440" t="n">
        <v>0.654539</v>
      </c>
      <c r="J440" t="n">
        <v>1.325676</v>
      </c>
      <c r="K440" t="n">
        <v>0</v>
      </c>
      <c r="L440" t="n">
        <v>0.003</v>
      </c>
      <c r="M440" t="n">
        <v>0.488709</v>
      </c>
    </row>
    <row r="441">
      <c r="A441" t="inlineStr">
        <is>
          <t>opt-adamw-lr0.003</t>
        </is>
      </c>
      <c r="B441" t="n">
        <v>20</v>
      </c>
      <c r="C441" t="n">
        <v>0.190649</v>
      </c>
      <c r="D441" t="n">
        <v>0.923079</v>
      </c>
      <c r="E441" t="n">
        <v>0.201609</v>
      </c>
      <c r="F441" t="n">
        <v>0.21584</v>
      </c>
      <c r="G441" t="n">
        <v>0.9133520000000001</v>
      </c>
      <c r="H441" t="n">
        <v>0.872823</v>
      </c>
      <c r="I441" t="n">
        <v>0.651913</v>
      </c>
      <c r="J441" t="n">
        <v>1.369569</v>
      </c>
      <c r="K441" t="n">
        <v>0</v>
      </c>
      <c r="L441" t="n">
        <v>0.003</v>
      </c>
      <c r="M441" t="n">
        <v>0.486374</v>
      </c>
    </row>
    <row r="442">
      <c r="A442" t="inlineStr">
        <is>
          <t>opt-adamw-lr0.01</t>
        </is>
      </c>
      <c r="B442" t="n">
        <v>1</v>
      </c>
      <c r="C442" t="n">
        <v>0.417676</v>
      </c>
      <c r="D442" t="n">
        <v>0.821373</v>
      </c>
      <c r="E442" t="n">
        <v>0.502916</v>
      </c>
      <c r="F442" t="n">
        <v>0.42141</v>
      </c>
      <c r="G442" t="n">
        <v>0.8197759999999999</v>
      </c>
      <c r="H442" t="n">
        <v>0.6812049999999999</v>
      </c>
      <c r="I442" t="n">
        <v>0.561571</v>
      </c>
      <c r="J442" t="n">
        <v>2.871076</v>
      </c>
      <c r="K442" t="n">
        <v>0</v>
      </c>
      <c r="L442" t="n">
        <v>0.01</v>
      </c>
      <c r="M442" t="n">
        <v>0.487743</v>
      </c>
    </row>
    <row r="443">
      <c r="A443" t="inlineStr">
        <is>
          <t>opt-adamw-lr0.01</t>
        </is>
      </c>
      <c r="B443" t="n">
        <v>2</v>
      </c>
      <c r="C443" t="n">
        <v>0.360232</v>
      </c>
      <c r="D443" t="n">
        <v>0.848048</v>
      </c>
      <c r="E443" t="n">
        <v>0.384001</v>
      </c>
      <c r="F443" t="n">
        <v>0.36755</v>
      </c>
      <c r="G443" t="n">
        <v>0.8438290000000001</v>
      </c>
      <c r="H443" t="n">
        <v>0.759873</v>
      </c>
      <c r="I443" t="n">
        <v>0.484438</v>
      </c>
      <c r="J443" t="n">
        <v>1.023376</v>
      </c>
      <c r="K443" t="n">
        <v>0</v>
      </c>
      <c r="L443" t="n">
        <v>0.01</v>
      </c>
      <c r="M443" t="n">
        <v>0.496273</v>
      </c>
    </row>
    <row r="444">
      <c r="A444" t="inlineStr">
        <is>
          <t>opt-adamw-lr0.01</t>
        </is>
      </c>
      <c r="B444" t="n">
        <v>3</v>
      </c>
      <c r="C444" t="n">
        <v>0.332927</v>
      </c>
      <c r="D444" t="n">
        <v>0.863003</v>
      </c>
      <c r="E444" t="n">
        <v>0.337914</v>
      </c>
      <c r="F444" t="n">
        <v>0.345243</v>
      </c>
      <c r="G444" t="n">
        <v>0.858996</v>
      </c>
      <c r="H444" t="n">
        <v>0.755194</v>
      </c>
      <c r="I444" t="n">
        <v>0.454666</v>
      </c>
      <c r="J444" t="n">
        <v>1.115075</v>
      </c>
      <c r="K444" t="n">
        <v>0</v>
      </c>
      <c r="L444" t="n">
        <v>0.01</v>
      </c>
      <c r="M444" t="n">
        <v>0.489982</v>
      </c>
    </row>
    <row r="445">
      <c r="A445" t="inlineStr">
        <is>
          <t>opt-adamw-lr0.01</t>
        </is>
      </c>
      <c r="B445" t="n">
        <v>4</v>
      </c>
      <c r="C445" t="n">
        <v>0.311598</v>
      </c>
      <c r="D445" t="n">
        <v>0.871326</v>
      </c>
      <c r="E445" t="n">
        <v>0.314399</v>
      </c>
      <c r="F445" t="n">
        <v>0.323539</v>
      </c>
      <c r="G445" t="n">
        <v>0.866795</v>
      </c>
      <c r="H445" t="n">
        <v>0.797899</v>
      </c>
      <c r="I445" t="n">
        <v>0.43552</v>
      </c>
      <c r="J445" t="n">
        <v>1.091743</v>
      </c>
      <c r="K445" t="n">
        <v>0</v>
      </c>
      <c r="L445" t="n">
        <v>0.01</v>
      </c>
      <c r="M445" t="n">
        <v>0.491329</v>
      </c>
    </row>
    <row r="446">
      <c r="A446" t="inlineStr">
        <is>
          <t>opt-adamw-lr0.01</t>
        </is>
      </c>
      <c r="B446" t="n">
        <v>5</v>
      </c>
      <c r="C446" t="n">
        <v>0.285516</v>
      </c>
      <c r="D446" t="n">
        <v>0.882543</v>
      </c>
      <c r="E446" t="n">
        <v>0.295617</v>
      </c>
      <c r="F446" t="n">
        <v>0.298288</v>
      </c>
      <c r="G446" t="n">
        <v>0.876735</v>
      </c>
      <c r="H446" t="n">
        <v>0.806354</v>
      </c>
      <c r="I446" t="n">
        <v>0.430429</v>
      </c>
      <c r="J446" t="n">
        <v>1.059128</v>
      </c>
      <c r="K446" t="n">
        <v>0</v>
      </c>
      <c r="L446" t="n">
        <v>0.01</v>
      </c>
      <c r="M446" t="n">
        <v>0.484853</v>
      </c>
    </row>
    <row r="447">
      <c r="A447" t="inlineStr">
        <is>
          <t>opt-adamw-lr0.01</t>
        </is>
      </c>
      <c r="B447" t="n">
        <v>6</v>
      </c>
      <c r="C447" t="n">
        <v>0.277846</v>
      </c>
      <c r="D447" t="n">
        <v>0.885292</v>
      </c>
      <c r="E447" t="n">
        <v>0.283914</v>
      </c>
      <c r="F447" t="n">
        <v>0.292312</v>
      </c>
      <c r="G447" t="n">
        <v>0.879402</v>
      </c>
      <c r="H447" t="n">
        <v>0.821947</v>
      </c>
      <c r="I447" t="n">
        <v>0.426553</v>
      </c>
      <c r="J447" t="n">
        <v>0.787232</v>
      </c>
      <c r="K447" t="n">
        <v>0</v>
      </c>
      <c r="L447" t="n">
        <v>0.01</v>
      </c>
      <c r="M447" t="n">
        <v>0.482994</v>
      </c>
    </row>
    <row r="448">
      <c r="A448" t="inlineStr">
        <is>
          <t>opt-adamw-lr0.01</t>
        </is>
      </c>
      <c r="B448" t="n">
        <v>7</v>
      </c>
      <c r="C448" t="n">
        <v>0.261121</v>
      </c>
      <c r="D448" t="n">
        <v>0.893193</v>
      </c>
      <c r="E448" t="n">
        <v>0.273169</v>
      </c>
      <c r="F448" t="n">
        <v>0.273667</v>
      </c>
      <c r="G448" t="n">
        <v>0.888761</v>
      </c>
      <c r="H448" t="n">
        <v>0.817673</v>
      </c>
      <c r="I448" t="n">
        <v>0.416835</v>
      </c>
      <c r="J448" t="n">
        <v>0.91729</v>
      </c>
      <c r="K448" t="n">
        <v>0</v>
      </c>
      <c r="L448" t="n">
        <v>0.01</v>
      </c>
      <c r="M448" t="n">
        <v>0.48772</v>
      </c>
    </row>
    <row r="449">
      <c r="A449" t="inlineStr">
        <is>
          <t>opt-adamw-lr0.01</t>
        </is>
      </c>
      <c r="B449" t="n">
        <v>8</v>
      </c>
      <c r="C449" t="n">
        <v>0.258629</v>
      </c>
      <c r="D449" t="n">
        <v>0.8936770000000001</v>
      </c>
      <c r="E449" t="n">
        <v>0.264794</v>
      </c>
      <c r="F449" t="n">
        <v>0.272679</v>
      </c>
      <c r="G449" t="n">
        <v>0.888352</v>
      </c>
      <c r="H449" t="n">
        <v>0.824281</v>
      </c>
      <c r="I449" t="n">
        <v>0.405952</v>
      </c>
      <c r="J449" t="n">
        <v>0.848436</v>
      </c>
      <c r="K449" t="n">
        <v>0</v>
      </c>
      <c r="L449" t="n">
        <v>0.01</v>
      </c>
      <c r="M449" t="n">
        <v>0.484865</v>
      </c>
    </row>
    <row r="450">
      <c r="A450" t="inlineStr">
        <is>
          <t>opt-adamw-lr0.01</t>
        </is>
      </c>
      <c r="B450" t="n">
        <v>9</v>
      </c>
      <c r="C450" t="n">
        <v>0.245925</v>
      </c>
      <c r="D450" t="n">
        <v>0.899674</v>
      </c>
      <c r="E450" t="n">
        <v>0.258306</v>
      </c>
      <c r="F450" t="n">
        <v>0.259651</v>
      </c>
      <c r="G450" t="n">
        <v>0.894645</v>
      </c>
      <c r="H450" t="n">
        <v>0.832549</v>
      </c>
      <c r="I450" t="n">
        <v>0.40021</v>
      </c>
      <c r="J450" t="n">
        <v>0.800156</v>
      </c>
      <c r="K450" t="n">
        <v>0</v>
      </c>
      <c r="L450" t="n">
        <v>0.01</v>
      </c>
      <c r="M450" t="n">
        <v>0.490231</v>
      </c>
    </row>
    <row r="451">
      <c r="A451" t="inlineStr">
        <is>
          <t>opt-adamw-lr0.01</t>
        </is>
      </c>
      <c r="B451" t="n">
        <v>10</v>
      </c>
      <c r="C451" t="n">
        <v>0.242214</v>
      </c>
      <c r="D451" t="n">
        <v>0.9014</v>
      </c>
      <c r="E451" t="n">
        <v>0.251364</v>
      </c>
      <c r="F451" t="n">
        <v>0.258461</v>
      </c>
      <c r="G451" t="n">
        <v>0.895151</v>
      </c>
      <c r="H451" t="n">
        <v>0.830527</v>
      </c>
      <c r="I451" t="n">
        <v>0.398652</v>
      </c>
      <c r="J451" t="n">
        <v>0.750977</v>
      </c>
      <c r="K451" t="n">
        <v>0</v>
      </c>
      <c r="L451" t="n">
        <v>0.01</v>
      </c>
      <c r="M451" t="n">
        <v>0.4953</v>
      </c>
    </row>
    <row r="452">
      <c r="A452" t="inlineStr">
        <is>
          <t>opt-adamw-lr0.01</t>
        </is>
      </c>
      <c r="B452" t="n">
        <v>11</v>
      </c>
      <c r="C452" t="n">
        <v>0.244853</v>
      </c>
      <c r="D452" t="n">
        <v>0.89994</v>
      </c>
      <c r="E452" t="n">
        <v>0.246595</v>
      </c>
      <c r="F452" t="n">
        <v>0.261666</v>
      </c>
      <c r="G452" t="n">
        <v>0.893333</v>
      </c>
      <c r="H452" t="n">
        <v>0.821991</v>
      </c>
      <c r="I452" t="n">
        <v>0.387726</v>
      </c>
      <c r="J452" t="n">
        <v>0.666818</v>
      </c>
      <c r="K452" t="n">
        <v>0</v>
      </c>
      <c r="L452" t="n">
        <v>0.01</v>
      </c>
      <c r="M452" t="n">
        <v>0.489152</v>
      </c>
    </row>
    <row r="453">
      <c r="A453" t="inlineStr">
        <is>
          <t>opt-adamw-lr0.01</t>
        </is>
      </c>
      <c r="B453" t="n">
        <v>12</v>
      </c>
      <c r="C453" t="n">
        <v>0.239849</v>
      </c>
      <c r="D453" t="n">
        <v>0.902524</v>
      </c>
      <c r="E453" t="n">
        <v>0.242717</v>
      </c>
      <c r="F453" t="n">
        <v>0.258854</v>
      </c>
      <c r="G453" t="n">
        <v>0.8955920000000001</v>
      </c>
      <c r="H453" t="n">
        <v>0.827516</v>
      </c>
      <c r="I453" t="n">
        <v>0.390512</v>
      </c>
      <c r="J453" t="n">
        <v>1.002353</v>
      </c>
      <c r="K453" t="n">
        <v>0</v>
      </c>
      <c r="L453" t="n">
        <v>0.01</v>
      </c>
      <c r="M453" t="n">
        <v>0.486544</v>
      </c>
    </row>
    <row r="454">
      <c r="A454" t="inlineStr">
        <is>
          <t>opt-adamw-lr0.01</t>
        </is>
      </c>
      <c r="B454" t="n">
        <v>13</v>
      </c>
      <c r="C454" t="n">
        <v>0.242492</v>
      </c>
      <c r="D454" t="n">
        <v>0.90083</v>
      </c>
      <c r="E454" t="n">
        <v>0.240427</v>
      </c>
      <c r="F454" t="n">
        <v>0.260436</v>
      </c>
      <c r="G454" t="n">
        <v>0.894021</v>
      </c>
      <c r="H454" t="n">
        <v>0.841381</v>
      </c>
      <c r="I454" t="n">
        <v>0.392165</v>
      </c>
      <c r="J454" t="n">
        <v>0.721131</v>
      </c>
      <c r="K454" t="n">
        <v>0</v>
      </c>
      <c r="L454" t="n">
        <v>0.01</v>
      </c>
      <c r="M454" t="n">
        <v>0.489432</v>
      </c>
    </row>
    <row r="455">
      <c r="A455" t="inlineStr">
        <is>
          <t>opt-adamw-lr0.01</t>
        </is>
      </c>
      <c r="B455" t="n">
        <v>14</v>
      </c>
      <c r="C455" t="n">
        <v>0.229624</v>
      </c>
      <c r="D455" t="n">
        <v>0.906932</v>
      </c>
      <c r="E455" t="n">
        <v>0.236017</v>
      </c>
      <c r="F455" t="n">
        <v>0.249038</v>
      </c>
      <c r="G455" t="n">
        <v>0.899002</v>
      </c>
      <c r="H455" t="n">
        <v>0.839757</v>
      </c>
      <c r="I455" t="n">
        <v>0.385329</v>
      </c>
      <c r="J455" t="n">
        <v>0.785674</v>
      </c>
      <c r="K455" t="n">
        <v>0</v>
      </c>
      <c r="L455" t="n">
        <v>0.01</v>
      </c>
      <c r="M455" t="n">
        <v>0.487294</v>
      </c>
    </row>
    <row r="456">
      <c r="A456" t="inlineStr">
        <is>
          <t>opt-adamw-lr0.01</t>
        </is>
      </c>
      <c r="B456" t="n">
        <v>15</v>
      </c>
      <c r="C456" t="n">
        <v>0.22817</v>
      </c>
      <c r="D456" t="n">
        <v>0.906561</v>
      </c>
      <c r="E456" t="n">
        <v>0.23353</v>
      </c>
      <c r="F456" t="n">
        <v>0.246059</v>
      </c>
      <c r="G456" t="n">
        <v>0.899798</v>
      </c>
      <c r="H456" t="n">
        <v>0.839626</v>
      </c>
      <c r="I456" t="n">
        <v>0.383981</v>
      </c>
      <c r="J456" t="n">
        <v>0.765879</v>
      </c>
      <c r="K456" t="n">
        <v>0</v>
      </c>
      <c r="L456" t="n">
        <v>0.01</v>
      </c>
      <c r="M456" t="n">
        <v>0.490848</v>
      </c>
    </row>
    <row r="457">
      <c r="A457" t="inlineStr">
        <is>
          <t>opt-adamw-lr0.01</t>
        </is>
      </c>
      <c r="B457" t="n">
        <v>16</v>
      </c>
      <c r="C457" t="n">
        <v>0.222017</v>
      </c>
      <c r="D457" t="n">
        <v>0.910544</v>
      </c>
      <c r="E457" t="n">
        <v>0.230631</v>
      </c>
      <c r="F457" t="n">
        <v>0.241645</v>
      </c>
      <c r="G457" t="n">
        <v>0.902326</v>
      </c>
      <c r="H457" t="n">
        <v>0.853137</v>
      </c>
      <c r="I457" t="n">
        <v>0.383344</v>
      </c>
      <c r="J457" t="n">
        <v>0.64988</v>
      </c>
      <c r="K457" t="n">
        <v>0</v>
      </c>
      <c r="L457" t="n">
        <v>0.01</v>
      </c>
      <c r="M457" t="n">
        <v>0.493545</v>
      </c>
    </row>
    <row r="458">
      <c r="A458" t="inlineStr">
        <is>
          <t>opt-adamw-lr0.01</t>
        </is>
      </c>
      <c r="B458" t="n">
        <v>17</v>
      </c>
      <c r="C458" t="n">
        <v>0.221782</v>
      </c>
      <c r="D458" t="n">
        <v>0.909815</v>
      </c>
      <c r="E458" t="n">
        <v>0.228705</v>
      </c>
      <c r="F458" t="n">
        <v>0.239138</v>
      </c>
      <c r="G458" t="n">
        <v>0.903574</v>
      </c>
      <c r="H458" t="n">
        <v>0.839813</v>
      </c>
      <c r="I458" t="n">
        <v>0.384916</v>
      </c>
      <c r="J458" t="n">
        <v>0.71261</v>
      </c>
      <c r="K458" t="n">
        <v>0</v>
      </c>
      <c r="L458" t="n">
        <v>0.01</v>
      </c>
      <c r="M458" t="n">
        <v>0.500315</v>
      </c>
    </row>
    <row r="459">
      <c r="A459" t="inlineStr">
        <is>
          <t>opt-adamw-lr0.01</t>
        </is>
      </c>
      <c r="B459" t="n">
        <v>18</v>
      </c>
      <c r="C459" t="n">
        <v>0.2117</v>
      </c>
      <c r="D459" t="n">
        <v>0.915097</v>
      </c>
      <c r="E459" t="n">
        <v>0.226456</v>
      </c>
      <c r="F459" t="n">
        <v>0.232071</v>
      </c>
      <c r="G459" t="n">
        <v>0.908178</v>
      </c>
      <c r="H459" t="n">
        <v>0.858121</v>
      </c>
      <c r="I459" t="n">
        <v>0.380315</v>
      </c>
      <c r="J459" t="n">
        <v>0.666363</v>
      </c>
      <c r="K459" t="n">
        <v>0</v>
      </c>
      <c r="L459" t="n">
        <v>0.01</v>
      </c>
      <c r="M459" t="n">
        <v>0.486103</v>
      </c>
    </row>
    <row r="460">
      <c r="A460" t="inlineStr">
        <is>
          <t>opt-adamw-lr0.01</t>
        </is>
      </c>
      <c r="B460" t="n">
        <v>19</v>
      </c>
      <c r="C460" t="n">
        <v>0.225393</v>
      </c>
      <c r="D460" t="n">
        <v>0.907443</v>
      </c>
      <c r="E460" t="n">
        <v>0.224694</v>
      </c>
      <c r="F460" t="n">
        <v>0.244501</v>
      </c>
      <c r="G460" t="n">
        <v>0.9004219999999999</v>
      </c>
      <c r="H460" t="n">
        <v>0.844953</v>
      </c>
      <c r="I460" t="n">
        <v>0.379004</v>
      </c>
      <c r="J460" t="n">
        <v>0.75904</v>
      </c>
      <c r="K460" t="n">
        <v>0</v>
      </c>
      <c r="L460" t="n">
        <v>0.01</v>
      </c>
      <c r="M460" t="n">
        <v>0.500895</v>
      </c>
    </row>
    <row r="461">
      <c r="A461" t="inlineStr">
        <is>
          <t>opt-adamw-lr0.01</t>
        </is>
      </c>
      <c r="B461" t="n">
        <v>20</v>
      </c>
      <c r="C461" t="n">
        <v>0.209894</v>
      </c>
      <c r="D461" t="n">
        <v>0.915368</v>
      </c>
      <c r="E461" t="n">
        <v>0.223037</v>
      </c>
      <c r="F461" t="n">
        <v>0.229672</v>
      </c>
      <c r="G461" t="n">
        <v>0.908081</v>
      </c>
      <c r="H461" t="n">
        <v>0.851532</v>
      </c>
      <c r="I461" t="n">
        <v>0.374688</v>
      </c>
      <c r="J461" t="n">
        <v>0.779156</v>
      </c>
      <c r="K461" t="n">
        <v>0</v>
      </c>
      <c r="L461" t="n">
        <v>0.01</v>
      </c>
      <c r="M461" t="n">
        <v>0.487002</v>
      </c>
    </row>
    <row r="462">
      <c r="A462" t="inlineStr">
        <is>
          <t>opt-adamw-wd0-lr0.003</t>
        </is>
      </c>
      <c r="B462" t="n">
        <v>1</v>
      </c>
      <c r="C462" t="n">
        <v>0.4303</v>
      </c>
      <c r="D462" t="n">
        <v>0.8187720000000001</v>
      </c>
      <c r="E462" t="n">
        <v>0.527415</v>
      </c>
      <c r="F462" t="n">
        <v>0.433789</v>
      </c>
      <c r="G462" t="n">
        <v>0.817753</v>
      </c>
      <c r="H462" t="n">
        <v>0.6752359999999999</v>
      </c>
      <c r="I462" t="n">
        <v>0.612494</v>
      </c>
      <c r="J462" t="n">
        <v>2.871076</v>
      </c>
      <c r="K462" t="n">
        <v>0</v>
      </c>
      <c r="L462" t="n">
        <v>0.003</v>
      </c>
      <c r="M462" t="n">
        <v>0.478625</v>
      </c>
    </row>
    <row r="463">
      <c r="A463" t="inlineStr">
        <is>
          <t>opt-adamw-wd0-lr0.003</t>
        </is>
      </c>
      <c r="B463" t="n">
        <v>2</v>
      </c>
      <c r="C463" t="n">
        <v>0.372959</v>
      </c>
      <c r="D463" t="n">
        <v>0.843231</v>
      </c>
      <c r="E463" t="n">
        <v>0.399733</v>
      </c>
      <c r="F463" t="n">
        <v>0.38008</v>
      </c>
      <c r="G463" t="n">
        <v>0.84015</v>
      </c>
      <c r="H463" t="n">
        <v>0.743907</v>
      </c>
      <c r="I463" t="n">
        <v>0.636476</v>
      </c>
      <c r="J463" t="n">
        <v>1.663679</v>
      </c>
      <c r="K463" t="n">
        <v>0</v>
      </c>
      <c r="L463" t="n">
        <v>0.003</v>
      </c>
      <c r="M463" t="n">
        <v>0.488631</v>
      </c>
    </row>
    <row r="464">
      <c r="A464" t="inlineStr">
        <is>
          <t>opt-adamw-wd0-lr0.003</t>
        </is>
      </c>
      <c r="B464" t="n">
        <v>3</v>
      </c>
      <c r="C464" t="n">
        <v>0.330087</v>
      </c>
      <c r="D464" t="n">
        <v>0.863062</v>
      </c>
      <c r="E464" t="n">
        <v>0.350644</v>
      </c>
      <c r="F464" t="n">
        <v>0.338867</v>
      </c>
      <c r="G464" t="n">
        <v>0.859437</v>
      </c>
      <c r="H464" t="n">
        <v>0.7529709999999999</v>
      </c>
      <c r="I464" t="n">
        <v>0.655161</v>
      </c>
      <c r="J464" t="n">
        <v>1.618484</v>
      </c>
      <c r="K464" t="n">
        <v>0</v>
      </c>
      <c r="L464" t="n">
        <v>0.003</v>
      </c>
      <c r="M464" t="n">
        <v>0.48997</v>
      </c>
    </row>
    <row r="465">
      <c r="A465" t="inlineStr">
        <is>
          <t>opt-adamw-wd0-lr0.003</t>
        </is>
      </c>
      <c r="B465" t="n">
        <v>4</v>
      </c>
      <c r="C465" t="n">
        <v>0.3088</v>
      </c>
      <c r="D465" t="n">
        <v>0.872746</v>
      </c>
      <c r="E465" t="n">
        <v>0.32036</v>
      </c>
      <c r="F465" t="n">
        <v>0.318168</v>
      </c>
      <c r="G465" t="n">
        <v>0.869495</v>
      </c>
      <c r="H465" t="n">
        <v>0.793493</v>
      </c>
      <c r="I465" t="n">
        <v>0.6771430000000001</v>
      </c>
      <c r="J465" t="n">
        <v>1.516531</v>
      </c>
      <c r="K465" t="n">
        <v>0</v>
      </c>
      <c r="L465" t="n">
        <v>0.003</v>
      </c>
      <c r="M465" t="n">
        <v>0.479601</v>
      </c>
    </row>
    <row r="466">
      <c r="A466" t="inlineStr">
        <is>
          <t>opt-adamw-wd0-lr0.003</t>
        </is>
      </c>
      <c r="B466" t="n">
        <v>5</v>
      </c>
      <c r="C466" t="n">
        <v>0.281816</v>
      </c>
      <c r="D466" t="n">
        <v>0.885558</v>
      </c>
      <c r="E466" t="n">
        <v>0.296772</v>
      </c>
      <c r="F466" t="n">
        <v>0.294032</v>
      </c>
      <c r="G466" t="n">
        <v>0.880177</v>
      </c>
      <c r="H466" t="n">
        <v>0.811015</v>
      </c>
      <c r="I466" t="n">
        <v>0.6621629999999999</v>
      </c>
      <c r="J466" t="n">
        <v>1.386752</v>
      </c>
      <c r="K466" t="n">
        <v>0</v>
      </c>
      <c r="L466" t="n">
        <v>0.003</v>
      </c>
      <c r="M466" t="n">
        <v>0.517144</v>
      </c>
    </row>
    <row r="467">
      <c r="A467" t="inlineStr">
        <is>
          <t>opt-adamw-wd0-lr0.003</t>
        </is>
      </c>
      <c r="B467" t="n">
        <v>6</v>
      </c>
      <c r="C467" t="n">
        <v>0.290063</v>
      </c>
      <c r="D467" t="n">
        <v>0.881841</v>
      </c>
      <c r="E467" t="n">
        <v>0.282034</v>
      </c>
      <c r="F467" t="n">
        <v>0.303076</v>
      </c>
      <c r="G467" t="n">
        <v>0.876638</v>
      </c>
      <c r="H467" t="n">
        <v>0.826097</v>
      </c>
      <c r="I467" t="n">
        <v>0.685343</v>
      </c>
      <c r="J467" t="n">
        <v>1.70974</v>
      </c>
      <c r="K467" t="n">
        <v>0</v>
      </c>
      <c r="L467" t="n">
        <v>0.003</v>
      </c>
      <c r="M467" t="n">
        <v>0.476887</v>
      </c>
    </row>
    <row r="468">
      <c r="A468" t="inlineStr">
        <is>
          <t>opt-adamw-wd0-lr0.003</t>
        </is>
      </c>
      <c r="B468" t="n">
        <v>7</v>
      </c>
      <c r="C468" t="n">
        <v>0.253576</v>
      </c>
      <c r="D468" t="n">
        <v>0.8960669999999999</v>
      </c>
      <c r="E468" t="n">
        <v>0.266824</v>
      </c>
      <c r="F468" t="n">
        <v>0.270453</v>
      </c>
      <c r="G468" t="n">
        <v>0.8890940000000001</v>
      </c>
      <c r="H468" t="n">
        <v>0.820248</v>
      </c>
      <c r="I468" t="n">
        <v>0.668537</v>
      </c>
      <c r="J468" t="n">
        <v>1.765591</v>
      </c>
      <c r="K468" t="n">
        <v>0</v>
      </c>
      <c r="L468" t="n">
        <v>0.003</v>
      </c>
      <c r="M468" t="n">
        <v>0.476319</v>
      </c>
    </row>
    <row r="469">
      <c r="A469" t="inlineStr">
        <is>
          <t>opt-adamw-wd0-lr0.003</t>
        </is>
      </c>
      <c r="B469" t="n">
        <v>8</v>
      </c>
      <c r="C469" t="n">
        <v>0.244783</v>
      </c>
      <c r="D469" t="n">
        <v>0.899432</v>
      </c>
      <c r="E469" t="n">
        <v>0.256987</v>
      </c>
      <c r="F469" t="n">
        <v>0.25958</v>
      </c>
      <c r="G469" t="n">
        <v>0.894236</v>
      </c>
      <c r="H469" t="n">
        <v>0.841348</v>
      </c>
      <c r="I469" t="n">
        <v>0.669269</v>
      </c>
      <c r="J469" t="n">
        <v>1.365702</v>
      </c>
      <c r="K469" t="n">
        <v>0</v>
      </c>
      <c r="L469" t="n">
        <v>0.003</v>
      </c>
      <c r="M469" t="n">
        <v>0.483508</v>
      </c>
    </row>
    <row r="470">
      <c r="A470" t="inlineStr">
        <is>
          <t>opt-adamw-wd0-lr0.003</t>
        </is>
      </c>
      <c r="B470" t="n">
        <v>9</v>
      </c>
      <c r="C470" t="n">
        <v>0.233959</v>
      </c>
      <c r="D470" t="n">
        <v>0.90467</v>
      </c>
      <c r="E470" t="n">
        <v>0.246839</v>
      </c>
      <c r="F470" t="n">
        <v>0.251797</v>
      </c>
      <c r="G470" t="n">
        <v>0.897786</v>
      </c>
      <c r="H470" t="n">
        <v>0.837568</v>
      </c>
      <c r="I470" t="n">
        <v>0.671775</v>
      </c>
      <c r="J470" t="n">
        <v>1.472841</v>
      </c>
      <c r="K470" t="n">
        <v>0</v>
      </c>
      <c r="L470" t="n">
        <v>0.003</v>
      </c>
      <c r="M470" t="n">
        <v>0.483095</v>
      </c>
    </row>
    <row r="471">
      <c r="A471" t="inlineStr">
        <is>
          <t>opt-adamw-wd0-lr0.003</t>
        </is>
      </c>
      <c r="B471" t="n">
        <v>10</v>
      </c>
      <c r="C471" t="n">
        <v>0.240112</v>
      </c>
      <c r="D471" t="n">
        <v>0.901879</v>
      </c>
      <c r="E471" t="n">
        <v>0.240363</v>
      </c>
      <c r="F471" t="n">
        <v>0.258864</v>
      </c>
      <c r="G471" t="n">
        <v>0.895075</v>
      </c>
      <c r="H471" t="n">
        <v>0.837462</v>
      </c>
      <c r="I471" t="n">
        <v>0.678209</v>
      </c>
      <c r="J471" t="n">
        <v>1.403276</v>
      </c>
      <c r="K471" t="n">
        <v>0</v>
      </c>
      <c r="L471" t="n">
        <v>0.003</v>
      </c>
      <c r="M471" t="n">
        <v>0.491259</v>
      </c>
    </row>
    <row r="472">
      <c r="A472" t="inlineStr">
        <is>
          <t>opt-adamw-wd0-lr0.003</t>
        </is>
      </c>
      <c r="B472" t="n">
        <v>11</v>
      </c>
      <c r="C472" t="n">
        <v>0.217391</v>
      </c>
      <c r="D472" t="n">
        <v>0.912289</v>
      </c>
      <c r="E472" t="n">
        <v>0.230966</v>
      </c>
      <c r="F472" t="n">
        <v>0.238407</v>
      </c>
      <c r="G472" t="n">
        <v>0.904477</v>
      </c>
      <c r="H472" t="n">
        <v>0.843157</v>
      </c>
      <c r="I472" t="n">
        <v>0.654987</v>
      </c>
      <c r="J472" t="n">
        <v>1.225517</v>
      </c>
      <c r="K472" t="n">
        <v>0</v>
      </c>
      <c r="L472" t="n">
        <v>0.003</v>
      </c>
      <c r="M472" t="n">
        <v>0.482805</v>
      </c>
    </row>
    <row r="473">
      <c r="A473" t="inlineStr">
        <is>
          <t>opt-adamw-wd0-lr0.003</t>
        </is>
      </c>
      <c r="B473" t="n">
        <v>12</v>
      </c>
      <c r="C473" t="n">
        <v>0.212971</v>
      </c>
      <c r="D473" t="n">
        <v>0.914026</v>
      </c>
      <c r="E473" t="n">
        <v>0.225664</v>
      </c>
      <c r="F473" t="n">
        <v>0.23591</v>
      </c>
      <c r="G473" t="n">
        <v>0.905478</v>
      </c>
      <c r="H473" t="n">
        <v>0.852573</v>
      </c>
      <c r="I473" t="n">
        <v>0.678937</v>
      </c>
      <c r="J473" t="n">
        <v>2.182562</v>
      </c>
      <c r="K473" t="n">
        <v>0</v>
      </c>
      <c r="L473" t="n">
        <v>0.003</v>
      </c>
      <c r="M473" t="n">
        <v>0.480356</v>
      </c>
    </row>
    <row r="474">
      <c r="A474" t="inlineStr">
        <is>
          <t>opt-adamw-wd0-lr0.003</t>
        </is>
      </c>
      <c r="B474" t="n">
        <v>13</v>
      </c>
      <c r="C474" t="n">
        <v>0.211301</v>
      </c>
      <c r="D474" t="n">
        <v>0.91408</v>
      </c>
      <c r="E474" t="n">
        <v>0.221074</v>
      </c>
      <c r="F474" t="n">
        <v>0.233121</v>
      </c>
      <c r="G474" t="n">
        <v>0.905962</v>
      </c>
      <c r="H474" t="n">
        <v>0.861887</v>
      </c>
      <c r="I474" t="n">
        <v>0.690869</v>
      </c>
      <c r="J474" t="n">
        <v>1.422343</v>
      </c>
      <c r="K474" t="n">
        <v>0</v>
      </c>
      <c r="L474" t="n">
        <v>0.003</v>
      </c>
      <c r="M474" t="n">
        <v>0.485849</v>
      </c>
    </row>
    <row r="475">
      <c r="A475" t="inlineStr">
        <is>
          <t>opt-adamw-wd0-lr0.003</t>
        </is>
      </c>
      <c r="B475" t="n">
        <v>14</v>
      </c>
      <c r="C475" t="n">
        <v>0.210527</v>
      </c>
      <c r="D475" t="n">
        <v>0.915643</v>
      </c>
      <c r="E475" t="n">
        <v>0.214151</v>
      </c>
      <c r="F475" t="n">
        <v>0.234181</v>
      </c>
      <c r="G475" t="n">
        <v>0.907693</v>
      </c>
      <c r="H475" t="n">
        <v>0.860713</v>
      </c>
      <c r="I475" t="n">
        <v>0.67655</v>
      </c>
      <c r="J475" t="n">
        <v>1.366969</v>
      </c>
      <c r="K475" t="n">
        <v>0</v>
      </c>
      <c r="L475" t="n">
        <v>0.003</v>
      </c>
      <c r="M475" t="n">
        <v>0.475174</v>
      </c>
    </row>
    <row r="476">
      <c r="A476" t="inlineStr">
        <is>
          <t>opt-adamw-wd0-lr0.003</t>
        </is>
      </c>
      <c r="B476" t="n">
        <v>15</v>
      </c>
      <c r="C476" t="n">
        <v>0.212664</v>
      </c>
      <c r="D476" t="n">
        <v>0.91284</v>
      </c>
      <c r="E476" t="n">
        <v>0.212335</v>
      </c>
      <c r="F476" t="n">
        <v>0.234478</v>
      </c>
      <c r="G476" t="n">
        <v>0.904703</v>
      </c>
      <c r="H476" t="n">
        <v>0.862166</v>
      </c>
      <c r="I476" t="n">
        <v>0.700776</v>
      </c>
      <c r="J476" t="n">
        <v>1.462807</v>
      </c>
      <c r="K476" t="n">
        <v>0</v>
      </c>
      <c r="L476" t="n">
        <v>0.003</v>
      </c>
      <c r="M476" t="n">
        <v>0.486536</v>
      </c>
    </row>
    <row r="477">
      <c r="A477" t="inlineStr">
        <is>
          <t>opt-adamw-wd0-lr0.003</t>
        </is>
      </c>
      <c r="B477" t="n">
        <v>16</v>
      </c>
      <c r="C477" t="n">
        <v>0.204633</v>
      </c>
      <c r="D477" t="n">
        <v>0.9191279999999999</v>
      </c>
      <c r="E477" t="n">
        <v>0.206185</v>
      </c>
      <c r="F477" t="n">
        <v>0.229303</v>
      </c>
      <c r="G477" t="n">
        <v>0.911114</v>
      </c>
      <c r="H477" t="n">
        <v>0.865449</v>
      </c>
      <c r="I477" t="n">
        <v>0.688432</v>
      </c>
      <c r="J477" t="n">
        <v>1.363425</v>
      </c>
      <c r="K477" t="n">
        <v>0</v>
      </c>
      <c r="L477" t="n">
        <v>0.003</v>
      </c>
      <c r="M477" t="n">
        <v>0.491158</v>
      </c>
    </row>
    <row r="478">
      <c r="A478" t="inlineStr">
        <is>
          <t>opt-adamw-wd0-lr0.003</t>
        </is>
      </c>
      <c r="B478" t="n">
        <v>17</v>
      </c>
      <c r="C478" t="n">
        <v>0.194289</v>
      </c>
      <c r="D478" t="n">
        <v>0.921029</v>
      </c>
      <c r="E478" t="n">
        <v>0.202059</v>
      </c>
      <c r="F478" t="n">
        <v>0.21918</v>
      </c>
      <c r="G478" t="n">
        <v>0.91276</v>
      </c>
      <c r="H478" t="n">
        <v>0.865503</v>
      </c>
      <c r="I478" t="n">
        <v>0.685634</v>
      </c>
      <c r="J478" t="n">
        <v>1.473629</v>
      </c>
      <c r="K478" t="n">
        <v>0</v>
      </c>
      <c r="L478" t="n">
        <v>0.003</v>
      </c>
      <c r="M478" t="n">
        <v>0.486079</v>
      </c>
    </row>
    <row r="479">
      <c r="A479" t="inlineStr">
        <is>
          <t>opt-adamw-wd0-lr0.003</t>
        </is>
      </c>
      <c r="B479" t="n">
        <v>18</v>
      </c>
      <c r="C479" t="n">
        <v>0.186323</v>
      </c>
      <c r="D479" t="n">
        <v>0.925346</v>
      </c>
      <c r="E479" t="n">
        <v>0.201193</v>
      </c>
      <c r="F479" t="n">
        <v>0.212743</v>
      </c>
      <c r="G479" t="n">
        <v>0.915998</v>
      </c>
      <c r="H479" t="n">
        <v>0.871918</v>
      </c>
      <c r="I479" t="n">
        <v>0.702982</v>
      </c>
      <c r="J479" t="n">
        <v>1.565675</v>
      </c>
      <c r="K479" t="n">
        <v>0</v>
      </c>
      <c r="L479" t="n">
        <v>0.003</v>
      </c>
      <c r="M479" t="n">
        <v>0.479321</v>
      </c>
    </row>
    <row r="480">
      <c r="A480" t="inlineStr">
        <is>
          <t>opt-adamw-wd0-lr0.003</t>
        </is>
      </c>
      <c r="B480" t="n">
        <v>19</v>
      </c>
      <c r="C480" t="n">
        <v>0.194061</v>
      </c>
      <c r="D480" t="n">
        <v>0.921739</v>
      </c>
      <c r="E480" t="n">
        <v>0.195881</v>
      </c>
      <c r="F480" t="n">
        <v>0.220663</v>
      </c>
      <c r="G480" t="n">
        <v>0.913137</v>
      </c>
      <c r="H480" t="n">
        <v>0.870808</v>
      </c>
      <c r="I480" t="n">
        <v>0.683682</v>
      </c>
      <c r="J480" t="n">
        <v>1.581188</v>
      </c>
      <c r="K480" t="n">
        <v>0</v>
      </c>
      <c r="L480" t="n">
        <v>0.003</v>
      </c>
      <c r="M480" t="n">
        <v>0.479026</v>
      </c>
    </row>
    <row r="481">
      <c r="A481" t="inlineStr">
        <is>
          <t>opt-adamw-wd0-lr0.003</t>
        </is>
      </c>
      <c r="B481" t="n">
        <v>20</v>
      </c>
      <c r="C481" t="n">
        <v>0.18681</v>
      </c>
      <c r="D481" t="n">
        <v>0.923979</v>
      </c>
      <c r="E481" t="n">
        <v>0.19331</v>
      </c>
      <c r="F481" t="n">
        <v>0.213006</v>
      </c>
      <c r="G481" t="n">
        <v>0.914782</v>
      </c>
      <c r="H481" t="n">
        <v>0.877476</v>
      </c>
      <c r="I481" t="n">
        <v>0.684612</v>
      </c>
      <c r="J481" t="n">
        <v>1.553437</v>
      </c>
      <c r="K481" t="n">
        <v>0</v>
      </c>
      <c r="L481" t="n">
        <v>0.003</v>
      </c>
      <c r="M481" t="n">
        <v>0.491073</v>
      </c>
    </row>
    <row r="482">
      <c r="A482" t="inlineStr">
        <is>
          <t>hp-bs128</t>
        </is>
      </c>
      <c r="B482" t="n">
        <v>1</v>
      </c>
      <c r="C482" t="n">
        <v>0.5065460000000001</v>
      </c>
      <c r="D482" t="n">
        <v>0.790605</v>
      </c>
      <c r="E482" t="n">
        <v>0.551085</v>
      </c>
      <c r="F482" t="n">
        <v>0.509457</v>
      </c>
      <c r="G482" t="n">
        <v>0.788849</v>
      </c>
      <c r="H482" t="n">
        <v>0.552904</v>
      </c>
      <c r="I482" t="n">
        <v>0.449883</v>
      </c>
      <c r="J482" t="n">
        <v>3.173035</v>
      </c>
      <c r="K482" t="n">
        <v>0</v>
      </c>
      <c r="L482" t="n">
        <v>0.3</v>
      </c>
      <c r="M482" t="n">
        <v>1.265507</v>
      </c>
    </row>
    <row r="483">
      <c r="A483" t="inlineStr">
        <is>
          <t>hp-bs128</t>
        </is>
      </c>
      <c r="B483" t="n">
        <v>2</v>
      </c>
      <c r="C483" t="n">
        <v>0.450161</v>
      </c>
      <c r="D483" t="n">
        <v>0.820512</v>
      </c>
      <c r="E483" t="n">
        <v>0.462094</v>
      </c>
      <c r="F483" t="n">
        <v>0.458328</v>
      </c>
      <c r="G483" t="n">
        <v>0.818614</v>
      </c>
      <c r="H483" t="n">
        <v>0.669855</v>
      </c>
      <c r="I483" t="n">
        <v>0.444981</v>
      </c>
      <c r="J483" t="n">
        <v>3.987133</v>
      </c>
      <c r="K483" t="n">
        <v>0</v>
      </c>
      <c r="L483" t="n">
        <v>0.3</v>
      </c>
      <c r="M483" t="n">
        <v>1.203196</v>
      </c>
    </row>
    <row r="484">
      <c r="A484" t="inlineStr">
        <is>
          <t>hp-bs128</t>
        </is>
      </c>
      <c r="B484" t="n">
        <v>3</v>
      </c>
      <c r="C484" t="n">
        <v>0.417132</v>
      </c>
      <c r="D484" t="n">
        <v>0.829016</v>
      </c>
      <c r="E484" t="n">
        <v>0.432015</v>
      </c>
      <c r="F484" t="n">
        <v>0.424178</v>
      </c>
      <c r="G484" t="n">
        <v>0.826617</v>
      </c>
      <c r="H484" t="n">
        <v>0.641614</v>
      </c>
      <c r="I484" t="n">
        <v>0.444629</v>
      </c>
      <c r="J484" t="n">
        <v>3.245091</v>
      </c>
      <c r="K484" t="n">
        <v>0</v>
      </c>
      <c r="L484" t="n">
        <v>0.3</v>
      </c>
      <c r="M484" t="n">
        <v>1.194172</v>
      </c>
    </row>
    <row r="485">
      <c r="A485" t="inlineStr">
        <is>
          <t>hp-bs128</t>
        </is>
      </c>
      <c r="B485" t="n">
        <v>4</v>
      </c>
      <c r="C485" t="n">
        <v>0.414664</v>
      </c>
      <c r="D485" t="n">
        <v>0.830624</v>
      </c>
      <c r="E485" t="n">
        <v>0.403289</v>
      </c>
      <c r="F485" t="n">
        <v>0.425987</v>
      </c>
      <c r="G485" t="n">
        <v>0.828607</v>
      </c>
      <c r="H485" t="n">
        <v>0.690833</v>
      </c>
      <c r="I485" t="n">
        <v>0.439946</v>
      </c>
      <c r="J485" t="n">
        <v>0.9360540000000001</v>
      </c>
      <c r="K485" t="n">
        <v>0</v>
      </c>
      <c r="L485" t="n">
        <v>0.3</v>
      </c>
      <c r="M485" t="n">
        <v>1.207057</v>
      </c>
    </row>
    <row r="486">
      <c r="A486" t="inlineStr">
        <is>
          <t>hp-bs128</t>
        </is>
      </c>
      <c r="B486" t="n">
        <v>5</v>
      </c>
      <c r="C486" t="n">
        <v>0.354929</v>
      </c>
      <c r="D486" t="n">
        <v>0.85387</v>
      </c>
      <c r="E486" t="n">
        <v>0.383404</v>
      </c>
      <c r="F486" t="n">
        <v>0.364243</v>
      </c>
      <c r="G486" t="n">
        <v>0.852036</v>
      </c>
      <c r="H486" t="n">
        <v>0.727552</v>
      </c>
      <c r="I486" t="n">
        <v>0.439764</v>
      </c>
      <c r="J486" t="n">
        <v>0.920579</v>
      </c>
      <c r="K486" t="n">
        <v>0</v>
      </c>
      <c r="L486" t="n">
        <v>0.3</v>
      </c>
      <c r="M486" t="n">
        <v>1.198766</v>
      </c>
    </row>
    <row r="487">
      <c r="A487" t="inlineStr">
        <is>
          <t>hp-bs128</t>
        </is>
      </c>
      <c r="B487" t="n">
        <v>6</v>
      </c>
      <c r="C487" t="n">
        <v>0.371792</v>
      </c>
      <c r="D487" t="n">
        <v>0.847558</v>
      </c>
      <c r="E487" t="n">
        <v>0.37164</v>
      </c>
      <c r="F487" t="n">
        <v>0.383862</v>
      </c>
      <c r="G487" t="n">
        <v>0.84484</v>
      </c>
      <c r="H487" t="n">
        <v>0.74807</v>
      </c>
      <c r="I487" t="n">
        <v>0.443849</v>
      </c>
      <c r="J487" t="n">
        <v>2.117909</v>
      </c>
      <c r="K487" t="n">
        <v>0</v>
      </c>
      <c r="L487" t="n">
        <v>0.3</v>
      </c>
      <c r="M487" t="n">
        <v>1.192174</v>
      </c>
    </row>
    <row r="488">
      <c r="A488" t="inlineStr">
        <is>
          <t>hp-bs128</t>
        </is>
      </c>
      <c r="B488" t="n">
        <v>7</v>
      </c>
      <c r="C488" t="n">
        <v>0.363785</v>
      </c>
      <c r="D488" t="n">
        <v>0.849836</v>
      </c>
      <c r="E488" t="n">
        <v>0.362965</v>
      </c>
      <c r="F488" t="n">
        <v>0.373938</v>
      </c>
      <c r="G488" t="n">
        <v>0.846206</v>
      </c>
      <c r="H488" t="n">
        <v>0.755267</v>
      </c>
      <c r="I488" t="n">
        <v>0.440587</v>
      </c>
      <c r="J488" t="n">
        <v>1.784109</v>
      </c>
      <c r="K488" t="n">
        <v>0</v>
      </c>
      <c r="L488" t="n">
        <v>0.3</v>
      </c>
      <c r="M488" t="n">
        <v>1.191971</v>
      </c>
    </row>
    <row r="489">
      <c r="A489" t="inlineStr">
        <is>
          <t>hp-bs128</t>
        </is>
      </c>
      <c r="B489" t="n">
        <v>8</v>
      </c>
      <c r="C489" t="n">
        <v>0.35129</v>
      </c>
      <c r="D489" t="n">
        <v>0.86417</v>
      </c>
      <c r="E489" t="n">
        <v>0.360411</v>
      </c>
      <c r="F489" t="n">
        <v>0.366899</v>
      </c>
      <c r="G489" t="n">
        <v>0.860943</v>
      </c>
      <c r="H489" t="n">
        <v>0.768136</v>
      </c>
      <c r="I489" t="n">
        <v>0.446153</v>
      </c>
      <c r="J489" t="n">
        <v>1.071169</v>
      </c>
      <c r="K489" t="n">
        <v>0</v>
      </c>
      <c r="L489" t="n">
        <v>0.3</v>
      </c>
      <c r="M489" t="n">
        <v>1.203202</v>
      </c>
    </row>
    <row r="490">
      <c r="A490" t="inlineStr">
        <is>
          <t>hp-bs128</t>
        </is>
      </c>
      <c r="B490" t="n">
        <v>9</v>
      </c>
      <c r="C490" t="n">
        <v>0.317937</v>
      </c>
      <c r="D490" t="n">
        <v>0.872587</v>
      </c>
      <c r="E490" t="n">
        <v>0.348358</v>
      </c>
      <c r="F490" t="n">
        <v>0.333387</v>
      </c>
      <c r="G490" t="n">
        <v>0.86886</v>
      </c>
      <c r="H490" t="n">
        <v>0.7551</v>
      </c>
      <c r="I490" t="n">
        <v>0.43687</v>
      </c>
      <c r="J490" t="n">
        <v>1.23391</v>
      </c>
      <c r="K490" t="n">
        <v>0</v>
      </c>
      <c r="L490" t="n">
        <v>0.3</v>
      </c>
      <c r="M490" t="n">
        <v>1.189679</v>
      </c>
    </row>
    <row r="491">
      <c r="A491" t="inlineStr">
        <is>
          <t>hp-bs128</t>
        </is>
      </c>
      <c r="B491" t="n">
        <v>10</v>
      </c>
      <c r="C491" t="n">
        <v>0.3491</v>
      </c>
      <c r="D491" t="n">
        <v>0.86549</v>
      </c>
      <c r="E491" t="n">
        <v>0.341836</v>
      </c>
      <c r="F491" t="n">
        <v>0.363032</v>
      </c>
      <c r="G491" t="n">
        <v>0.861449</v>
      </c>
      <c r="H491" t="n">
        <v>0.767381</v>
      </c>
      <c r="I491" t="n">
        <v>0.440058</v>
      </c>
      <c r="J491" t="n">
        <v>1.05894</v>
      </c>
      <c r="K491" t="n">
        <v>0</v>
      </c>
      <c r="L491" t="n">
        <v>0.3</v>
      </c>
      <c r="M491" t="n">
        <v>1.187398</v>
      </c>
    </row>
    <row r="492">
      <c r="A492" t="inlineStr">
        <is>
          <t>hp-bs128</t>
        </is>
      </c>
      <c r="B492" t="n">
        <v>11</v>
      </c>
      <c r="C492" t="n">
        <v>0.340793</v>
      </c>
      <c r="D492" t="n">
        <v>0.868543</v>
      </c>
      <c r="E492" t="n">
        <v>0.335351</v>
      </c>
      <c r="F492" t="n">
        <v>0.356675</v>
      </c>
      <c r="G492" t="n">
        <v>0.866139</v>
      </c>
      <c r="H492" t="n">
        <v>0.774638</v>
      </c>
      <c r="I492" t="n">
        <v>0.439159</v>
      </c>
      <c r="J492" t="n">
        <v>0.926229</v>
      </c>
      <c r="K492" t="n">
        <v>0</v>
      </c>
      <c r="L492" t="n">
        <v>0.3</v>
      </c>
      <c r="M492" t="n">
        <v>1.217505</v>
      </c>
    </row>
    <row r="493">
      <c r="A493" t="inlineStr">
        <is>
          <t>hp-bs128</t>
        </is>
      </c>
      <c r="B493" t="n">
        <v>12</v>
      </c>
      <c r="C493" t="n">
        <v>0.326557</v>
      </c>
      <c r="D493" t="n">
        <v>0.872246</v>
      </c>
      <c r="E493" t="n">
        <v>0.335946</v>
      </c>
      <c r="F493" t="n">
        <v>0.341498</v>
      </c>
      <c r="G493" t="n">
        <v>0.867677</v>
      </c>
      <c r="H493" t="n">
        <v>0.738814</v>
      </c>
      <c r="I493" t="n">
        <v>0.440908</v>
      </c>
      <c r="J493" t="n">
        <v>1.164013</v>
      </c>
      <c r="K493" t="n">
        <v>0</v>
      </c>
      <c r="L493" t="n">
        <v>0.3</v>
      </c>
      <c r="M493" t="n">
        <v>1.265626</v>
      </c>
    </row>
    <row r="494">
      <c r="A494" t="inlineStr">
        <is>
          <t>hp-bs128</t>
        </is>
      </c>
      <c r="B494" t="n">
        <v>13</v>
      </c>
      <c r="C494" t="n">
        <v>0.335584</v>
      </c>
      <c r="D494" t="n">
        <v>0.867919</v>
      </c>
      <c r="E494" t="n">
        <v>0.337377</v>
      </c>
      <c r="F494" t="n">
        <v>0.352887</v>
      </c>
      <c r="G494" t="n">
        <v>0.86232</v>
      </c>
      <c r="H494" t="n">
        <v>0.780125</v>
      </c>
      <c r="I494" t="n">
        <v>0.45006</v>
      </c>
      <c r="J494" t="n">
        <v>1.410404</v>
      </c>
      <c r="K494" t="n">
        <v>0</v>
      </c>
      <c r="L494" t="n">
        <v>0.3</v>
      </c>
      <c r="M494" t="n">
        <v>1.19367</v>
      </c>
    </row>
    <row r="495">
      <c r="A495" t="inlineStr">
        <is>
          <t>hp-bs128</t>
        </is>
      </c>
      <c r="B495" t="n">
        <v>14</v>
      </c>
      <c r="C495" t="n">
        <v>0.322539</v>
      </c>
      <c r="D495" t="n">
        <v>0.870557</v>
      </c>
      <c r="E495" t="n">
        <v>0.336959</v>
      </c>
      <c r="F495" t="n">
        <v>0.343448</v>
      </c>
      <c r="G495" t="n">
        <v>0.864999</v>
      </c>
      <c r="H495" t="n">
        <v>0.764369</v>
      </c>
      <c r="I495" t="n">
        <v>0.45124</v>
      </c>
      <c r="J495" t="n">
        <v>2.025576</v>
      </c>
      <c r="K495" t="n">
        <v>0</v>
      </c>
      <c r="L495" t="n">
        <v>0.3</v>
      </c>
      <c r="M495" t="n">
        <v>1.192607</v>
      </c>
    </row>
    <row r="496">
      <c r="A496" t="inlineStr">
        <is>
          <t>hp-bs128</t>
        </is>
      </c>
      <c r="B496" t="n">
        <v>15</v>
      </c>
      <c r="C496" t="n">
        <v>0.327287</v>
      </c>
      <c r="D496" t="n">
        <v>0.873962</v>
      </c>
      <c r="E496" t="n">
        <v>0.33611</v>
      </c>
      <c r="F496" t="n">
        <v>0.347213</v>
      </c>
      <c r="G496" t="n">
        <v>0.868882</v>
      </c>
      <c r="H496" t="n">
        <v>0.7877110000000001</v>
      </c>
      <c r="I496" t="n">
        <v>0.449196</v>
      </c>
      <c r="J496" t="n">
        <v>1.026759</v>
      </c>
      <c r="K496" t="n">
        <v>0</v>
      </c>
      <c r="L496" t="n">
        <v>0.3</v>
      </c>
      <c r="M496" t="n">
        <v>1.212843</v>
      </c>
    </row>
    <row r="497">
      <c r="A497" t="inlineStr">
        <is>
          <t>hp-bs128</t>
        </is>
      </c>
      <c r="B497" t="n">
        <v>16</v>
      </c>
      <c r="C497" t="n">
        <v>0.328825</v>
      </c>
      <c r="D497" t="n">
        <v>0.874032</v>
      </c>
      <c r="E497" t="n">
        <v>0.333202</v>
      </c>
      <c r="F497" t="n">
        <v>0.347779</v>
      </c>
      <c r="G497" t="n">
        <v>0.869517</v>
      </c>
      <c r="H497" t="n">
        <v>0.78128</v>
      </c>
      <c r="I497" t="n">
        <v>0.450085</v>
      </c>
      <c r="J497" t="n">
        <v>1.597718</v>
      </c>
      <c r="K497" t="n">
        <v>0</v>
      </c>
      <c r="L497" t="n">
        <v>0.3</v>
      </c>
      <c r="M497" t="n">
        <v>1.204737</v>
      </c>
    </row>
    <row r="498">
      <c r="A498" t="inlineStr">
        <is>
          <t>hp-bs128</t>
        </is>
      </c>
      <c r="B498" t="n">
        <v>17</v>
      </c>
      <c r="C498" t="n">
        <v>0.312007</v>
      </c>
      <c r="D498" t="n">
        <v>0.868389</v>
      </c>
      <c r="E498" t="n">
        <v>0.325407</v>
      </c>
      <c r="F498" t="n">
        <v>0.332706</v>
      </c>
      <c r="G498" t="n">
        <v>0.862137</v>
      </c>
      <c r="H498" t="n">
        <v>0.795773</v>
      </c>
      <c r="I498" t="n">
        <v>0.444757</v>
      </c>
      <c r="J498" t="n">
        <v>2.252081</v>
      </c>
      <c r="K498" t="n">
        <v>0</v>
      </c>
      <c r="L498" t="n">
        <v>0.3</v>
      </c>
      <c r="M498" t="n">
        <v>1.203554</v>
      </c>
    </row>
    <row r="499">
      <c r="A499" t="inlineStr">
        <is>
          <t>hp-bs128</t>
        </is>
      </c>
      <c r="B499" t="n">
        <v>18</v>
      </c>
      <c r="C499" t="n">
        <v>0.315725</v>
      </c>
      <c r="D499" t="n">
        <v>0.880335</v>
      </c>
      <c r="E499" t="n">
        <v>0.327899</v>
      </c>
      <c r="F499" t="n">
        <v>0.332753</v>
      </c>
      <c r="G499" t="n">
        <v>0.875465</v>
      </c>
      <c r="H499" t="n">
        <v>0.79387</v>
      </c>
      <c r="I499" t="n">
        <v>0.446977</v>
      </c>
      <c r="J499" t="n">
        <v>2.22487</v>
      </c>
      <c r="K499" t="n">
        <v>0</v>
      </c>
      <c r="L499" t="n">
        <v>0.3</v>
      </c>
      <c r="M499" t="n">
        <v>1.224962</v>
      </c>
    </row>
    <row r="500">
      <c r="A500" t="inlineStr">
        <is>
          <t>hp-bs128</t>
        </is>
      </c>
      <c r="B500" t="n">
        <v>19</v>
      </c>
      <c r="C500" t="n">
        <v>0.32846</v>
      </c>
      <c r="D500" t="n">
        <v>0.879432</v>
      </c>
      <c r="E500" t="n">
        <v>0.323409</v>
      </c>
      <c r="F500" t="n">
        <v>0.3487</v>
      </c>
      <c r="G500" t="n">
        <v>0.873905</v>
      </c>
      <c r="H500" t="n">
        <v>0.793915</v>
      </c>
      <c r="I500" t="n">
        <v>0.445871</v>
      </c>
      <c r="J500" t="n">
        <v>1.348093</v>
      </c>
      <c r="K500" t="n">
        <v>0</v>
      </c>
      <c r="L500" t="n">
        <v>0.3</v>
      </c>
      <c r="M500" t="n">
        <v>1.225267</v>
      </c>
    </row>
    <row r="501">
      <c r="A501" t="inlineStr">
        <is>
          <t>hp-bs128</t>
        </is>
      </c>
      <c r="B501" t="n">
        <v>20</v>
      </c>
      <c r="C501" t="n">
        <v>0.313172</v>
      </c>
      <c r="D501" t="n">
        <v>0.884264</v>
      </c>
      <c r="E501" t="n">
        <v>0.318363</v>
      </c>
      <c r="F501" t="n">
        <v>0.33588</v>
      </c>
      <c r="G501" t="n">
        <v>0.879262</v>
      </c>
      <c r="H501" t="n">
        <v>0.802661</v>
      </c>
      <c r="I501" t="n">
        <v>0.444458</v>
      </c>
      <c r="J501" t="n">
        <v>1.021245</v>
      </c>
      <c r="K501" t="n">
        <v>0</v>
      </c>
      <c r="L501" t="n">
        <v>0.3</v>
      </c>
      <c r="M501" t="n">
        <v>1.208647</v>
      </c>
    </row>
    <row r="502">
      <c r="A502" t="inlineStr">
        <is>
          <t>hp-bs2048</t>
        </is>
      </c>
      <c r="B502" t="n">
        <v>1</v>
      </c>
      <c r="C502" t="n">
        <v>0.472948</v>
      </c>
      <c r="D502" t="n">
        <v>0.799861</v>
      </c>
      <c r="E502" t="n">
        <v>0.6119</v>
      </c>
      <c r="F502" t="n">
        <v>0.477649</v>
      </c>
      <c r="G502" t="n">
        <v>0.796411</v>
      </c>
      <c r="H502" t="n">
        <v>0.628906</v>
      </c>
      <c r="I502" t="n">
        <v>0.388895</v>
      </c>
      <c r="J502" t="n">
        <v>3.014737</v>
      </c>
      <c r="K502" t="n">
        <v>0</v>
      </c>
      <c r="L502" t="n">
        <v>0.3</v>
      </c>
      <c r="M502" t="n">
        <v>0.189725</v>
      </c>
    </row>
    <row r="503">
      <c r="A503" t="inlineStr">
        <is>
          <t>hp-bs2048</t>
        </is>
      </c>
      <c r="B503" t="n">
        <v>2</v>
      </c>
      <c r="C503" t="n">
        <v>0.46468</v>
      </c>
      <c r="D503" t="n">
        <v>0.797452</v>
      </c>
      <c r="E503" t="n">
        <v>0.456441</v>
      </c>
      <c r="F503" t="n">
        <v>0.470609</v>
      </c>
      <c r="G503" t="n">
        <v>0.794185</v>
      </c>
      <c r="H503" t="n">
        <v>0.684832</v>
      </c>
      <c r="I503" t="n">
        <v>0.452164</v>
      </c>
      <c r="J503" t="n">
        <v>0.8423349999999999</v>
      </c>
      <c r="K503" t="n">
        <v>0</v>
      </c>
      <c r="L503" t="n">
        <v>0.3</v>
      </c>
      <c r="M503" t="n">
        <v>0.098023</v>
      </c>
    </row>
    <row r="504">
      <c r="A504" t="inlineStr">
        <is>
          <t>hp-bs2048</t>
        </is>
      </c>
      <c r="B504" t="n">
        <v>3</v>
      </c>
      <c r="C504" t="n">
        <v>0.380948</v>
      </c>
      <c r="D504" t="n">
        <v>0.842121</v>
      </c>
      <c r="E504" t="n">
        <v>0.410316</v>
      </c>
      <c r="F504" t="n">
        <v>0.388607</v>
      </c>
      <c r="G504" t="n">
        <v>0.837611</v>
      </c>
      <c r="H504" t="n">
        <v>0.70643</v>
      </c>
      <c r="I504" t="n">
        <v>0.430914</v>
      </c>
      <c r="J504" t="n">
        <v>0.921898</v>
      </c>
      <c r="K504" t="n">
        <v>0</v>
      </c>
      <c r="L504" t="n">
        <v>0.3</v>
      </c>
      <c r="M504" t="n">
        <v>0.102929</v>
      </c>
    </row>
    <row r="505">
      <c r="A505" t="inlineStr">
        <is>
          <t>hp-bs2048</t>
        </is>
      </c>
      <c r="B505" t="n">
        <v>4</v>
      </c>
      <c r="C505" t="n">
        <v>0.36785</v>
      </c>
      <c r="D505" t="n">
        <v>0.846047</v>
      </c>
      <c r="E505" t="n">
        <v>0.37528</v>
      </c>
      <c r="F505" t="n">
        <v>0.375902</v>
      </c>
      <c r="G505" t="n">
        <v>0.842376</v>
      </c>
      <c r="H505" t="n">
        <v>0.72628</v>
      </c>
      <c r="I505" t="n">
        <v>0.431659</v>
      </c>
      <c r="J505" t="n">
        <v>0.916477</v>
      </c>
      <c r="K505" t="n">
        <v>0</v>
      </c>
      <c r="L505" t="n">
        <v>0.3</v>
      </c>
      <c r="M505" t="n">
        <v>0.09286700000000001</v>
      </c>
    </row>
    <row r="506">
      <c r="A506" t="inlineStr">
        <is>
          <t>hp-bs2048</t>
        </is>
      </c>
      <c r="B506" t="n">
        <v>5</v>
      </c>
      <c r="C506" t="n">
        <v>0.331559</v>
      </c>
      <c r="D506" t="n">
        <v>0.86247</v>
      </c>
      <c r="E506" t="n">
        <v>0.353553</v>
      </c>
      <c r="F506" t="n">
        <v>0.341421</v>
      </c>
      <c r="G506" t="n">
        <v>0.858803</v>
      </c>
      <c r="H506" t="n">
        <v>0.727025</v>
      </c>
      <c r="I506" t="n">
        <v>0.443739</v>
      </c>
      <c r="J506" t="n">
        <v>0.860675</v>
      </c>
      <c r="K506" t="n">
        <v>0</v>
      </c>
      <c r="L506" t="n">
        <v>0.3</v>
      </c>
      <c r="M506" t="n">
        <v>0.09344</v>
      </c>
    </row>
    <row r="507">
      <c r="A507" t="inlineStr">
        <is>
          <t>hp-bs2048</t>
        </is>
      </c>
      <c r="B507" t="n">
        <v>6</v>
      </c>
      <c r="C507" t="n">
        <v>0.31959</v>
      </c>
      <c r="D507" t="n">
        <v>0.869247</v>
      </c>
      <c r="E507" t="n">
        <v>0.334296</v>
      </c>
      <c r="F507" t="n">
        <v>0.331036</v>
      </c>
      <c r="G507" t="n">
        <v>0.865418</v>
      </c>
      <c r="H507" t="n">
        <v>0.767923</v>
      </c>
      <c r="I507" t="n">
        <v>0.449312</v>
      </c>
      <c r="J507" t="n">
        <v>0.896557</v>
      </c>
      <c r="K507" t="n">
        <v>0</v>
      </c>
      <c r="L507" t="n">
        <v>0.3</v>
      </c>
      <c r="M507" t="n">
        <v>0.095842</v>
      </c>
    </row>
    <row r="508">
      <c r="A508" t="inlineStr">
        <is>
          <t>hp-bs2048</t>
        </is>
      </c>
      <c r="B508" t="n">
        <v>7</v>
      </c>
      <c r="C508" t="n">
        <v>0.307953</v>
      </c>
      <c r="D508" t="n">
        <v>0.871469</v>
      </c>
      <c r="E508" t="n">
        <v>0.320793</v>
      </c>
      <c r="F508" t="n">
        <v>0.320937</v>
      </c>
      <c r="G508" t="n">
        <v>0.865709</v>
      </c>
      <c r="H508" t="n">
        <v>0.784394</v>
      </c>
      <c r="I508" t="n">
        <v>0.453686</v>
      </c>
      <c r="J508" t="n">
        <v>0.967619</v>
      </c>
      <c r="K508" t="n">
        <v>0</v>
      </c>
      <c r="L508" t="n">
        <v>0.3</v>
      </c>
      <c r="M508" t="n">
        <v>0.093379</v>
      </c>
    </row>
    <row r="509">
      <c r="A509" t="inlineStr">
        <is>
          <t>hp-bs2048</t>
        </is>
      </c>
      <c r="B509" t="n">
        <v>8</v>
      </c>
      <c r="C509" t="n">
        <v>0.313374</v>
      </c>
      <c r="D509" t="n">
        <v>0.869008</v>
      </c>
      <c r="E509" t="n">
        <v>0.308651</v>
      </c>
      <c r="F509" t="n">
        <v>0.32497</v>
      </c>
      <c r="G509" t="n">
        <v>0.863891</v>
      </c>
      <c r="H509" t="n">
        <v>0.793611</v>
      </c>
      <c r="I509" t="n">
        <v>0.461504</v>
      </c>
      <c r="J509" t="n">
        <v>0.84987</v>
      </c>
      <c r="K509" t="n">
        <v>0</v>
      </c>
      <c r="L509" t="n">
        <v>0.3</v>
      </c>
      <c r="M509" t="n">
        <v>0.092991</v>
      </c>
    </row>
    <row r="510">
      <c r="A510" t="inlineStr">
        <is>
          <t>hp-bs2048</t>
        </is>
      </c>
      <c r="B510" t="n">
        <v>9</v>
      </c>
      <c r="C510" t="n">
        <v>0.292976</v>
      </c>
      <c r="D510" t="n">
        <v>0.878821</v>
      </c>
      <c r="E510" t="n">
        <v>0.294774</v>
      </c>
      <c r="F510" t="n">
        <v>0.306406</v>
      </c>
      <c r="G510" t="n">
        <v>0.873475</v>
      </c>
      <c r="H510" t="n">
        <v>0.772408</v>
      </c>
      <c r="I510" t="n">
        <v>0.410598</v>
      </c>
      <c r="J510" t="n">
        <v>0.709812</v>
      </c>
      <c r="K510" t="n">
        <v>0</v>
      </c>
      <c r="L510" t="n">
        <v>0.3</v>
      </c>
      <c r="M510" t="n">
        <v>0.093003</v>
      </c>
    </row>
    <row r="511">
      <c r="A511" t="inlineStr">
        <is>
          <t>hp-bs2048</t>
        </is>
      </c>
      <c r="B511" t="n">
        <v>10</v>
      </c>
      <c r="C511" t="n">
        <v>0.274963</v>
      </c>
      <c r="D511" t="n">
        <v>0.886948</v>
      </c>
      <c r="E511" t="n">
        <v>0.284726</v>
      </c>
      <c r="F511" t="n">
        <v>0.288073</v>
      </c>
      <c r="G511" t="n">
        <v>0.881521</v>
      </c>
      <c r="H511" t="n">
        <v>0.806616</v>
      </c>
      <c r="I511" t="n">
        <v>0.419189</v>
      </c>
      <c r="J511" t="n">
        <v>0.957715</v>
      </c>
      <c r="K511" t="n">
        <v>0</v>
      </c>
      <c r="L511" t="n">
        <v>0.3</v>
      </c>
      <c r="M511" t="n">
        <v>0.093566</v>
      </c>
    </row>
    <row r="512">
      <c r="A512" t="inlineStr">
        <is>
          <t>hp-bs2048</t>
        </is>
      </c>
      <c r="B512" t="n">
        <v>11</v>
      </c>
      <c r="C512" t="n">
        <v>0.262178</v>
      </c>
      <c r="D512" t="n">
        <v>0.892227</v>
      </c>
      <c r="E512" t="n">
        <v>0.277905</v>
      </c>
      <c r="F512" t="n">
        <v>0.27797</v>
      </c>
      <c r="G512" t="n">
        <v>0.88732</v>
      </c>
      <c r="H512" t="n">
        <v>0.814446</v>
      </c>
      <c r="I512" t="n">
        <v>0.431858</v>
      </c>
      <c r="J512" t="n">
        <v>0.929783</v>
      </c>
      <c r="K512" t="n">
        <v>0</v>
      </c>
      <c r="L512" t="n">
        <v>0.3</v>
      </c>
      <c r="M512" t="n">
        <v>0.101303</v>
      </c>
    </row>
    <row r="513">
      <c r="A513" t="inlineStr">
        <is>
          <t>hp-bs2048</t>
        </is>
      </c>
      <c r="B513" t="n">
        <v>12</v>
      </c>
      <c r="C513" t="n">
        <v>0.276477</v>
      </c>
      <c r="D513" t="n">
        <v>0.888989</v>
      </c>
      <c r="E513" t="n">
        <v>0.275921</v>
      </c>
      <c r="F513" t="n">
        <v>0.291191</v>
      </c>
      <c r="G513" t="n">
        <v>0.882285</v>
      </c>
      <c r="H513" t="n">
        <v>0.81508</v>
      </c>
      <c r="I513" t="n">
        <v>0.461666</v>
      </c>
      <c r="J513" t="n">
        <v>0.9203789999999999</v>
      </c>
      <c r="K513" t="n">
        <v>0</v>
      </c>
      <c r="L513" t="n">
        <v>0.3</v>
      </c>
      <c r="M513" t="n">
        <v>0.09864000000000001</v>
      </c>
    </row>
    <row r="514">
      <c r="A514" t="inlineStr">
        <is>
          <t>hp-bs2048</t>
        </is>
      </c>
      <c r="B514" t="n">
        <v>13</v>
      </c>
      <c r="C514" t="n">
        <v>0.24905</v>
      </c>
      <c r="D514" t="n">
        <v>0.898227</v>
      </c>
      <c r="E514" t="n">
        <v>0.268689</v>
      </c>
      <c r="F514" t="n">
        <v>0.262711</v>
      </c>
      <c r="G514" t="n">
        <v>0.892655</v>
      </c>
      <c r="H514" t="n">
        <v>0.82994</v>
      </c>
      <c r="I514" t="n">
        <v>0.425205</v>
      </c>
      <c r="J514" t="n">
        <v>0.9450769999999999</v>
      </c>
      <c r="K514" t="n">
        <v>0</v>
      </c>
      <c r="L514" t="n">
        <v>0.3</v>
      </c>
      <c r="M514" t="n">
        <v>0.099061</v>
      </c>
    </row>
    <row r="515">
      <c r="A515" t="inlineStr">
        <is>
          <t>hp-bs2048</t>
        </is>
      </c>
      <c r="B515" t="n">
        <v>14</v>
      </c>
      <c r="C515" t="n">
        <v>0.243339</v>
      </c>
      <c r="D515" t="n">
        <v>0.90197</v>
      </c>
      <c r="E515" t="n">
        <v>0.257865</v>
      </c>
      <c r="F515" t="n">
        <v>0.260462</v>
      </c>
      <c r="G515" t="n">
        <v>0.895495</v>
      </c>
      <c r="H515" t="n">
        <v>0.824143</v>
      </c>
      <c r="I515" t="n">
        <v>0.421861</v>
      </c>
      <c r="J515" t="n">
        <v>0.727272</v>
      </c>
      <c r="K515" t="n">
        <v>0</v>
      </c>
      <c r="L515" t="n">
        <v>0.3</v>
      </c>
      <c r="M515" t="n">
        <v>0.093126</v>
      </c>
    </row>
    <row r="516">
      <c r="A516" t="inlineStr">
        <is>
          <t>hp-bs2048</t>
        </is>
      </c>
      <c r="B516" t="n">
        <v>15</v>
      </c>
      <c r="C516" t="n">
        <v>0.245259</v>
      </c>
      <c r="D516" t="n">
        <v>0.899733</v>
      </c>
      <c r="E516" t="n">
        <v>0.255763</v>
      </c>
      <c r="F516" t="n">
        <v>0.261362</v>
      </c>
      <c r="G516" t="n">
        <v>0.89344</v>
      </c>
      <c r="H516" t="n">
        <v>0.833126</v>
      </c>
      <c r="I516" t="n">
        <v>0.440322</v>
      </c>
      <c r="J516" t="n">
        <v>0.7034899999999999</v>
      </c>
      <c r="K516" t="n">
        <v>0</v>
      </c>
      <c r="L516" t="n">
        <v>0.3</v>
      </c>
      <c r="M516" t="n">
        <v>0.096111</v>
      </c>
    </row>
    <row r="517">
      <c r="A517" t="inlineStr">
        <is>
          <t>hp-bs2048</t>
        </is>
      </c>
      <c r="B517" t="n">
        <v>16</v>
      </c>
      <c r="C517" t="n">
        <v>0.246189</v>
      </c>
      <c r="D517" t="n">
        <v>0.900575</v>
      </c>
      <c r="E517" t="n">
        <v>0.249994</v>
      </c>
      <c r="F517" t="n">
        <v>0.263237</v>
      </c>
      <c r="G517" t="n">
        <v>0.893849</v>
      </c>
      <c r="H517" t="n">
        <v>0.831982</v>
      </c>
      <c r="I517" t="n">
        <v>0.417454</v>
      </c>
      <c r="J517" t="n">
        <v>0.7970930000000001</v>
      </c>
      <c r="K517" t="n">
        <v>0</v>
      </c>
      <c r="L517" t="n">
        <v>0.3</v>
      </c>
      <c r="M517" t="n">
        <v>0.10075</v>
      </c>
    </row>
    <row r="518">
      <c r="A518" t="inlineStr">
        <is>
          <t>hp-bs2048</t>
        </is>
      </c>
      <c r="B518" t="n">
        <v>17</v>
      </c>
      <c r="C518" t="n">
        <v>0.235763</v>
      </c>
      <c r="D518" t="n">
        <v>0.905141</v>
      </c>
      <c r="E518" t="n">
        <v>0.24626</v>
      </c>
      <c r="F518" t="n">
        <v>0.255398</v>
      </c>
      <c r="G518" t="n">
        <v>0.897184</v>
      </c>
      <c r="H518" t="n">
        <v>0.833709</v>
      </c>
      <c r="I518" t="n">
        <v>0.430334</v>
      </c>
      <c r="J518" t="n">
        <v>0.863434</v>
      </c>
      <c r="K518" t="n">
        <v>0</v>
      </c>
      <c r="L518" t="n">
        <v>0.3</v>
      </c>
      <c r="M518" t="n">
        <v>0.105314</v>
      </c>
    </row>
    <row r="519">
      <c r="A519" t="inlineStr">
        <is>
          <t>hp-bs2048</t>
        </is>
      </c>
      <c r="B519" t="n">
        <v>18</v>
      </c>
      <c r="C519" t="n">
        <v>0.224128</v>
      </c>
      <c r="D519" t="n">
        <v>0.909681</v>
      </c>
      <c r="E519" t="n">
        <v>0.238173</v>
      </c>
      <c r="F519" t="n">
        <v>0.244042</v>
      </c>
      <c r="G519" t="n">
        <v>0.9017230000000001</v>
      </c>
      <c r="H519" t="n">
        <v>0.843021</v>
      </c>
      <c r="I519" t="n">
        <v>0.395138</v>
      </c>
      <c r="J519" t="n">
        <v>0.6583290000000001</v>
      </c>
      <c r="K519" t="n">
        <v>0</v>
      </c>
      <c r="L519" t="n">
        <v>0.3</v>
      </c>
      <c r="M519" t="n">
        <v>0.101818</v>
      </c>
    </row>
    <row r="520">
      <c r="A520" t="inlineStr">
        <is>
          <t>hp-bs2048</t>
        </is>
      </c>
      <c r="B520" t="n">
        <v>19</v>
      </c>
      <c r="C520" t="n">
        <v>0.236104</v>
      </c>
      <c r="D520" t="n">
        <v>0.903318</v>
      </c>
      <c r="E520" t="n">
        <v>0.238447</v>
      </c>
      <c r="F520" t="n">
        <v>0.253811</v>
      </c>
      <c r="G520" t="n">
        <v>0.8963449999999999</v>
      </c>
      <c r="H520" t="n">
        <v>0.827545</v>
      </c>
      <c r="I520" t="n">
        <v>0.417873</v>
      </c>
      <c r="J520" t="n">
        <v>0.884655</v>
      </c>
      <c r="K520" t="n">
        <v>0</v>
      </c>
      <c r="L520" t="n">
        <v>0.3</v>
      </c>
      <c r="M520" t="n">
        <v>0.099302</v>
      </c>
    </row>
    <row r="521">
      <c r="A521" t="inlineStr">
        <is>
          <t>hp-bs2048</t>
        </is>
      </c>
      <c r="B521" t="n">
        <v>20</v>
      </c>
      <c r="C521" t="n">
        <v>0.224541</v>
      </c>
      <c r="D521" t="n">
        <v>0.909667</v>
      </c>
      <c r="E521" t="n">
        <v>0.231577</v>
      </c>
      <c r="F521" t="n">
        <v>0.243768</v>
      </c>
      <c r="G521" t="n">
        <v>0.9035300000000001</v>
      </c>
      <c r="H521" t="n">
        <v>0.839929</v>
      </c>
      <c r="I521" t="n">
        <v>0.412847</v>
      </c>
      <c r="J521" t="n">
        <v>0.908394</v>
      </c>
      <c r="K521" t="n">
        <v>0</v>
      </c>
      <c r="L521" t="n">
        <v>0.3</v>
      </c>
      <c r="M521" t="n">
        <v>0.100558</v>
      </c>
    </row>
    <row r="522">
      <c r="A522" t="inlineStr">
        <is>
          <t>hp-bs2048-lrx4-warmup</t>
        </is>
      </c>
      <c r="B522" t="n">
        <v>1</v>
      </c>
      <c r="C522" t="n">
        <v>0.560033</v>
      </c>
      <c r="D522" t="n">
        <v>0.753624</v>
      </c>
      <c r="E522" t="n">
        <v>0.6725680000000001</v>
      </c>
      <c r="F522" t="n">
        <v>0.562434</v>
      </c>
      <c r="G522" t="n">
        <v>0.7534149999999999</v>
      </c>
      <c r="H522" t="n">
        <v>0.538277</v>
      </c>
      <c r="I522" t="n">
        <v>0.479073</v>
      </c>
      <c r="J522" t="n">
        <v>2.881005</v>
      </c>
      <c r="K522" t="n">
        <v>0</v>
      </c>
      <c r="L522" t="n">
        <v>1.2</v>
      </c>
      <c r="M522" t="n">
        <v>0.09210599999999999</v>
      </c>
    </row>
    <row r="523">
      <c r="A523" t="inlineStr">
        <is>
          <t>hp-bs2048-lrx4-warmup</t>
        </is>
      </c>
      <c r="B523" t="n">
        <v>2</v>
      </c>
      <c r="C523" t="n">
        <v>0.413443</v>
      </c>
      <c r="D523" t="n">
        <v>0.825867</v>
      </c>
      <c r="E523" t="n">
        <v>0.454794</v>
      </c>
      <c r="F523" t="n">
        <v>0.419008</v>
      </c>
      <c r="G523" t="n">
        <v>0.823777</v>
      </c>
      <c r="H523" t="n">
        <v>0.712527</v>
      </c>
      <c r="I523" t="n">
        <v>0.281731</v>
      </c>
      <c r="J523" t="n">
        <v>0.527321</v>
      </c>
      <c r="K523" t="n">
        <v>0</v>
      </c>
      <c r="L523" t="n">
        <v>1.2</v>
      </c>
      <c r="M523" t="n">
        <v>0.092212</v>
      </c>
    </row>
    <row r="524">
      <c r="A524" t="inlineStr">
        <is>
          <t>hp-bs2048-lrx4-warmup</t>
        </is>
      </c>
      <c r="B524" t="n">
        <v>3</v>
      </c>
      <c r="C524" t="n">
        <v>0.358141</v>
      </c>
      <c r="D524" t="n">
        <v>0.850799</v>
      </c>
      <c r="E524" t="n">
        <v>0.385742</v>
      </c>
      <c r="F524" t="n">
        <v>0.367773</v>
      </c>
      <c r="G524" t="n">
        <v>0.847271</v>
      </c>
      <c r="H524" t="n">
        <v>0.744131</v>
      </c>
      <c r="I524" t="n">
        <v>0.237503</v>
      </c>
      <c r="J524" t="n">
        <v>0.370391</v>
      </c>
      <c r="K524" t="n">
        <v>0</v>
      </c>
      <c r="L524" t="n">
        <v>1.2</v>
      </c>
      <c r="M524" t="n">
        <v>0.092608</v>
      </c>
    </row>
    <row r="525">
      <c r="A525" t="inlineStr">
        <is>
          <t>hp-bs2048-lrx4-warmup</t>
        </is>
      </c>
      <c r="B525" t="n">
        <v>4</v>
      </c>
      <c r="C525" t="n">
        <v>0.342303</v>
      </c>
      <c r="D525" t="n">
        <v>0.858695</v>
      </c>
      <c r="E525" t="n">
        <v>0.347655</v>
      </c>
      <c r="F525" t="n">
        <v>0.353084</v>
      </c>
      <c r="G525" t="n">
        <v>0.853693</v>
      </c>
      <c r="H525" t="n">
        <v>0.756238</v>
      </c>
      <c r="I525" t="n">
        <v>0.234096</v>
      </c>
      <c r="J525" t="n">
        <v>0.354941</v>
      </c>
      <c r="K525" t="n">
        <v>0</v>
      </c>
      <c r="L525" t="n">
        <v>1.2</v>
      </c>
      <c r="M525" t="n">
        <v>0.093046</v>
      </c>
    </row>
    <row r="526">
      <c r="A526" t="inlineStr">
        <is>
          <t>hp-bs2048-lrx4-warmup</t>
        </is>
      </c>
      <c r="B526" t="n">
        <v>5</v>
      </c>
      <c r="C526" t="n">
        <v>0.30573</v>
      </c>
      <c r="D526" t="n">
        <v>0.874451</v>
      </c>
      <c r="E526" t="n">
        <v>0.324995</v>
      </c>
      <c r="F526" t="n">
        <v>0.315076</v>
      </c>
      <c r="G526" t="n">
        <v>0.869829</v>
      </c>
      <c r="H526" t="n">
        <v>0.77771</v>
      </c>
      <c r="I526" t="n">
        <v>0.230761</v>
      </c>
      <c r="J526" t="n">
        <v>0.36279</v>
      </c>
      <c r="K526" t="n">
        <v>0</v>
      </c>
      <c r="L526" t="n">
        <v>1.2</v>
      </c>
      <c r="M526" t="n">
        <v>0.100089</v>
      </c>
    </row>
    <row r="527">
      <c r="A527" t="inlineStr">
        <is>
          <t>hp-bs2048-lrx4-warmup</t>
        </is>
      </c>
      <c r="B527" t="n">
        <v>6</v>
      </c>
      <c r="C527" t="n">
        <v>0.288001</v>
      </c>
      <c r="D527" t="n">
        <v>0.882072</v>
      </c>
      <c r="E527" t="n">
        <v>0.303749</v>
      </c>
      <c r="F527" t="n">
        <v>0.299059</v>
      </c>
      <c r="G527" t="n">
        <v>0.877305</v>
      </c>
      <c r="H527" t="n">
        <v>0.80846</v>
      </c>
      <c r="I527" t="n">
        <v>0.216588</v>
      </c>
      <c r="J527" t="n">
        <v>0.320312</v>
      </c>
      <c r="K527" t="n">
        <v>0</v>
      </c>
      <c r="L527" t="n">
        <v>1.2</v>
      </c>
      <c r="M527" t="n">
        <v>0.09275700000000001</v>
      </c>
    </row>
    <row r="528">
      <c r="A528" t="inlineStr">
        <is>
          <t>hp-bs2048-lrx4-warmup</t>
        </is>
      </c>
      <c r="B528" t="n">
        <v>7</v>
      </c>
      <c r="C528" t="n">
        <v>0.28271</v>
      </c>
      <c r="D528" t="n">
        <v>0.88342</v>
      </c>
      <c r="E528" t="n">
        <v>0.290144</v>
      </c>
      <c r="F528" t="n">
        <v>0.296179</v>
      </c>
      <c r="G528" t="n">
        <v>0.877746</v>
      </c>
      <c r="H528" t="n">
        <v>0.802782</v>
      </c>
      <c r="I528" t="n">
        <v>0.218127</v>
      </c>
      <c r="J528" t="n">
        <v>0.393993</v>
      </c>
      <c r="K528" t="n">
        <v>0</v>
      </c>
      <c r="L528" t="n">
        <v>1.2</v>
      </c>
      <c r="M528" t="n">
        <v>0.092783</v>
      </c>
    </row>
    <row r="529">
      <c r="A529" t="inlineStr">
        <is>
          <t>hp-bs2048-lrx4-warmup</t>
        </is>
      </c>
      <c r="B529" t="n">
        <v>8</v>
      </c>
      <c r="C529" t="n">
        <v>0.267656</v>
      </c>
      <c r="D529" t="n">
        <v>0.8897659999999999</v>
      </c>
      <c r="E529" t="n">
        <v>0.282418</v>
      </c>
      <c r="F529" t="n">
        <v>0.279075</v>
      </c>
      <c r="G529" t="n">
        <v>0.885598</v>
      </c>
      <c r="H529" t="n">
        <v>0.812026</v>
      </c>
      <c r="I529" t="n">
        <v>0.220656</v>
      </c>
      <c r="J529" t="n">
        <v>0.36054</v>
      </c>
      <c r="K529" t="n">
        <v>0</v>
      </c>
      <c r="L529" t="n">
        <v>1.2</v>
      </c>
      <c r="M529" t="n">
        <v>0.09295399999999999</v>
      </c>
    </row>
    <row r="530">
      <c r="A530" t="inlineStr">
        <is>
          <t>hp-bs2048-lrx4-warmup</t>
        </is>
      </c>
      <c r="B530" t="n">
        <v>9</v>
      </c>
      <c r="C530" t="n">
        <v>0.26807</v>
      </c>
      <c r="D530" t="n">
        <v>0.8913450000000001</v>
      </c>
      <c r="E530" t="n">
        <v>0.270774</v>
      </c>
      <c r="F530" t="n">
        <v>0.28571</v>
      </c>
      <c r="G530" t="n">
        <v>0.886513</v>
      </c>
      <c r="H530" t="n">
        <v>0.807264</v>
      </c>
      <c r="I530" t="n">
        <v>0.213563</v>
      </c>
      <c r="J530" t="n">
        <v>0.32947</v>
      </c>
      <c r="K530" t="n">
        <v>0</v>
      </c>
      <c r="L530" t="n">
        <v>1.2</v>
      </c>
      <c r="M530" t="n">
        <v>0.09536600000000001</v>
      </c>
    </row>
    <row r="531">
      <c r="A531" t="inlineStr">
        <is>
          <t>hp-bs2048-lrx4-warmup</t>
        </is>
      </c>
      <c r="B531" t="n">
        <v>10</v>
      </c>
      <c r="C531" t="n">
        <v>0.245123</v>
      </c>
      <c r="D531" t="n">
        <v>0.899666</v>
      </c>
      <c r="E531" t="n">
        <v>0.262238</v>
      </c>
      <c r="F531" t="n">
        <v>0.264142</v>
      </c>
      <c r="G531" t="n">
        <v>0.8926770000000001</v>
      </c>
      <c r="H531" t="n">
        <v>0.82469</v>
      </c>
      <c r="I531" t="n">
        <v>0.211373</v>
      </c>
      <c r="J531" t="n">
        <v>0.271755</v>
      </c>
      <c r="K531" t="n">
        <v>0</v>
      </c>
      <c r="L531" t="n">
        <v>1.2</v>
      </c>
      <c r="M531" t="n">
        <v>0.09299</v>
      </c>
    </row>
    <row r="532">
      <c r="A532" t="inlineStr">
        <is>
          <t>hp-bs2048-lrx4-warmup</t>
        </is>
      </c>
      <c r="B532" t="n">
        <v>11</v>
      </c>
      <c r="C532" t="n">
        <v>0.235677</v>
      </c>
      <c r="D532" t="n">
        <v>0.9032750000000001</v>
      </c>
      <c r="E532" t="n">
        <v>0.253786</v>
      </c>
      <c r="F532" t="n">
        <v>0.251178</v>
      </c>
      <c r="G532" t="n">
        <v>0.897625</v>
      </c>
      <c r="H532" t="n">
        <v>0.836605</v>
      </c>
      <c r="I532" t="n">
        <v>0.209072</v>
      </c>
      <c r="J532" t="n">
        <v>0.294666</v>
      </c>
      <c r="K532" t="n">
        <v>0</v>
      </c>
      <c r="L532" t="n">
        <v>1.2</v>
      </c>
      <c r="M532" t="n">
        <v>0.094487</v>
      </c>
    </row>
    <row r="533">
      <c r="A533" t="inlineStr">
        <is>
          <t>hp-bs2048-lrx4-warmup</t>
        </is>
      </c>
      <c r="B533" t="n">
        <v>12</v>
      </c>
      <c r="C533" t="n">
        <v>0.238166</v>
      </c>
      <c r="D533" t="n">
        <v>0.903713</v>
      </c>
      <c r="E533" t="n">
        <v>0.245647</v>
      </c>
      <c r="F533" t="n">
        <v>0.258519</v>
      </c>
      <c r="G533" t="n">
        <v>0.897205</v>
      </c>
      <c r="H533" t="n">
        <v>0.821563</v>
      </c>
      <c r="I533" t="n">
        <v>0.203366</v>
      </c>
      <c r="J533" t="n">
        <v>0.29052</v>
      </c>
      <c r="K533" t="n">
        <v>0</v>
      </c>
      <c r="L533" t="n">
        <v>1.2</v>
      </c>
      <c r="M533" t="n">
        <v>0.100526</v>
      </c>
    </row>
    <row r="534">
      <c r="A534" t="inlineStr">
        <is>
          <t>hp-bs2048-lrx4-warmup</t>
        </is>
      </c>
      <c r="B534" t="n">
        <v>13</v>
      </c>
      <c r="C534" t="n">
        <v>0.223753</v>
      </c>
      <c r="D534" t="n">
        <v>0.909737</v>
      </c>
      <c r="E534" t="n">
        <v>0.240509</v>
      </c>
      <c r="F534" t="n">
        <v>0.242458</v>
      </c>
      <c r="G534" t="n">
        <v>0.903154</v>
      </c>
      <c r="H534" t="n">
        <v>0.847966</v>
      </c>
      <c r="I534" t="n">
        <v>0.206587</v>
      </c>
      <c r="J534" t="n">
        <v>0.282133</v>
      </c>
      <c r="K534" t="n">
        <v>0</v>
      </c>
      <c r="L534" t="n">
        <v>1.2</v>
      </c>
      <c r="M534" t="n">
        <v>0.09297999999999999</v>
      </c>
    </row>
    <row r="535">
      <c r="A535" t="inlineStr">
        <is>
          <t>hp-bs2048-lrx4-warmup</t>
        </is>
      </c>
      <c r="B535" t="n">
        <v>14</v>
      </c>
      <c r="C535" t="n">
        <v>0.22551</v>
      </c>
      <c r="D535" t="n">
        <v>0.909309</v>
      </c>
      <c r="E535" t="n">
        <v>0.23405</v>
      </c>
      <c r="F535" t="n">
        <v>0.24553</v>
      </c>
      <c r="G535" t="n">
        <v>0.902724</v>
      </c>
      <c r="H535" t="n">
        <v>0.8351690000000001</v>
      </c>
      <c r="I535" t="n">
        <v>0.199794</v>
      </c>
      <c r="J535" t="n">
        <v>0.265458</v>
      </c>
      <c r="K535" t="n">
        <v>0</v>
      </c>
      <c r="L535" t="n">
        <v>1.2</v>
      </c>
      <c r="M535" t="n">
        <v>0.097764</v>
      </c>
    </row>
    <row r="536">
      <c r="A536" t="inlineStr">
        <is>
          <t>hp-bs2048-lrx4-warmup</t>
        </is>
      </c>
      <c r="B536" t="n">
        <v>15</v>
      </c>
      <c r="C536" t="n">
        <v>0.215699</v>
      </c>
      <c r="D536" t="n">
        <v>0.912375</v>
      </c>
      <c r="E536" t="n">
        <v>0.233098</v>
      </c>
      <c r="F536" t="n">
        <v>0.237523</v>
      </c>
      <c r="G536" t="n">
        <v>0.904811</v>
      </c>
      <c r="H536" t="n">
        <v>0.84455</v>
      </c>
      <c r="I536" t="n">
        <v>0.203906</v>
      </c>
      <c r="J536" t="n">
        <v>0.270295</v>
      </c>
      <c r="K536" t="n">
        <v>0</v>
      </c>
      <c r="L536" t="n">
        <v>1.2</v>
      </c>
      <c r="M536" t="n">
        <v>0.102731</v>
      </c>
    </row>
    <row r="537">
      <c r="A537" t="inlineStr">
        <is>
          <t>hp-bs2048-lrx4-warmup</t>
        </is>
      </c>
      <c r="B537" t="n">
        <v>16</v>
      </c>
      <c r="C537" t="n">
        <v>0.227917</v>
      </c>
      <c r="D537" t="n">
        <v>0.906798</v>
      </c>
      <c r="E537" t="n">
        <v>0.230372</v>
      </c>
      <c r="F537" t="n">
        <v>0.24797</v>
      </c>
      <c r="G537" t="n">
        <v>0.900131</v>
      </c>
      <c r="H537" t="n">
        <v>0.833171</v>
      </c>
      <c r="I537" t="n">
        <v>0.205881</v>
      </c>
      <c r="J537" t="n">
        <v>0.300115</v>
      </c>
      <c r="K537" t="n">
        <v>0</v>
      </c>
      <c r="L537" t="n">
        <v>1.2</v>
      </c>
      <c r="M537" t="n">
        <v>0.093283</v>
      </c>
    </row>
    <row r="538">
      <c r="A538" t="inlineStr">
        <is>
          <t>hp-bs2048-lrx4-warmup</t>
        </is>
      </c>
      <c r="B538" t="n">
        <v>17</v>
      </c>
      <c r="C538" t="n">
        <v>0.213422</v>
      </c>
      <c r="D538" t="n">
        <v>0.914196</v>
      </c>
      <c r="E538" t="n">
        <v>0.222549</v>
      </c>
      <c r="F538" t="n">
        <v>0.234819</v>
      </c>
      <c r="G538" t="n">
        <v>0.905768</v>
      </c>
      <c r="H538" t="n">
        <v>0.8413310000000001</v>
      </c>
      <c r="I538" t="n">
        <v>0.197876</v>
      </c>
      <c r="J538" t="n">
        <v>0.268469</v>
      </c>
      <c r="K538" t="n">
        <v>0</v>
      </c>
      <c r="L538" t="n">
        <v>1.2</v>
      </c>
      <c r="M538" t="n">
        <v>0.093977</v>
      </c>
    </row>
    <row r="539">
      <c r="A539" t="inlineStr">
        <is>
          <t>hp-bs2048-lrx4-warmup</t>
        </is>
      </c>
      <c r="B539" t="n">
        <v>18</v>
      </c>
      <c r="C539" t="n">
        <v>0.216748</v>
      </c>
      <c r="D539" t="n">
        <v>0.912693</v>
      </c>
      <c r="E539" t="n">
        <v>0.220392</v>
      </c>
      <c r="F539" t="n">
        <v>0.23899</v>
      </c>
      <c r="G539" t="n">
        <v>0.905338</v>
      </c>
      <c r="H539" t="n">
        <v>0.845709</v>
      </c>
      <c r="I539" t="n">
        <v>0.200679</v>
      </c>
      <c r="J539" t="n">
        <v>0.290103</v>
      </c>
      <c r="K539" t="n">
        <v>0</v>
      </c>
      <c r="L539" t="n">
        <v>1.2</v>
      </c>
      <c r="M539" t="n">
        <v>0.101738</v>
      </c>
    </row>
    <row r="540">
      <c r="A540" t="inlineStr">
        <is>
          <t>hp-bs2048-lrx4-warmup</t>
        </is>
      </c>
      <c r="B540" t="n">
        <v>19</v>
      </c>
      <c r="C540" t="n">
        <v>0.201406</v>
      </c>
      <c r="D540" t="n">
        <v>0.918085</v>
      </c>
      <c r="E540" t="n">
        <v>0.21896</v>
      </c>
      <c r="F540" t="n">
        <v>0.223799</v>
      </c>
      <c r="G540" t="n">
        <v>0.911695</v>
      </c>
      <c r="H540" t="n">
        <v>0.857245</v>
      </c>
      <c r="I540" t="n">
        <v>0.199236</v>
      </c>
      <c r="J540" t="n">
        <v>0.299264</v>
      </c>
      <c r="K540" t="n">
        <v>0</v>
      </c>
      <c r="L540" t="n">
        <v>1.2</v>
      </c>
      <c r="M540" t="n">
        <v>0.092636</v>
      </c>
    </row>
    <row r="541">
      <c r="A541" t="inlineStr">
        <is>
          <t>hp-bs2048-lrx4-warmup</t>
        </is>
      </c>
      <c r="B541" t="n">
        <v>20</v>
      </c>
      <c r="C541" t="n">
        <v>0.197126</v>
      </c>
      <c r="D541" t="n">
        <v>0.920126</v>
      </c>
      <c r="E541" t="n">
        <v>0.209918</v>
      </c>
      <c r="F541" t="n">
        <v>0.221046</v>
      </c>
      <c r="G541" t="n">
        <v>0.911405</v>
      </c>
      <c r="H541" t="n">
        <v>0.861114</v>
      </c>
      <c r="I541" t="n">
        <v>0.192953</v>
      </c>
      <c r="J541" t="n">
        <v>0.263175</v>
      </c>
      <c r="K541" t="n">
        <v>0</v>
      </c>
      <c r="L541" t="n">
        <v>1.2</v>
      </c>
      <c r="M541" t="n">
        <v>0.092802</v>
      </c>
    </row>
    <row r="542">
      <c r="A542" t="inlineStr">
        <is>
          <t>hp-wide</t>
        </is>
      </c>
      <c r="B542" t="n">
        <v>1</v>
      </c>
      <c r="C542" t="n">
        <v>0.402178</v>
      </c>
      <c r="D542" t="n">
        <v>0.83021</v>
      </c>
      <c r="E542" t="n">
        <v>0.515655</v>
      </c>
      <c r="F542" t="n">
        <v>0.407908</v>
      </c>
      <c r="G542" t="n">
        <v>0.827639</v>
      </c>
      <c r="H542" t="n">
        <v>0.713932</v>
      </c>
      <c r="I542" t="n">
        <v>0.395881</v>
      </c>
      <c r="J542" t="n">
        <v>6.665561</v>
      </c>
      <c r="K542" t="n">
        <v>0</v>
      </c>
      <c r="L542" t="n">
        <v>0.3</v>
      </c>
      <c r="M542" t="n">
        <v>0.379122</v>
      </c>
    </row>
    <row r="543">
      <c r="A543" t="inlineStr">
        <is>
          <t>hp-wide</t>
        </is>
      </c>
      <c r="B543" t="n">
        <v>2</v>
      </c>
      <c r="C543" t="n">
        <v>0.352165</v>
      </c>
      <c r="D543" t="n">
        <v>0.852195</v>
      </c>
      <c r="E543" t="n">
        <v>0.383501</v>
      </c>
      <c r="F543" t="n">
        <v>0.36149</v>
      </c>
      <c r="G543" t="n">
        <v>0.847594</v>
      </c>
      <c r="H543" t="n">
        <v>0.756961</v>
      </c>
      <c r="I543" t="n">
        <v>0.363462</v>
      </c>
      <c r="J543" t="n">
        <v>0.686057</v>
      </c>
      <c r="K543" t="n">
        <v>0</v>
      </c>
      <c r="L543" t="n">
        <v>0.3</v>
      </c>
      <c r="M543" t="n">
        <v>0.358311</v>
      </c>
    </row>
    <row r="544">
      <c r="A544" t="inlineStr">
        <is>
          <t>hp-wide</t>
        </is>
      </c>
      <c r="B544" t="n">
        <v>3</v>
      </c>
      <c r="C544" t="n">
        <v>0.322632</v>
      </c>
      <c r="D544" t="n">
        <v>0.867486</v>
      </c>
      <c r="E544" t="n">
        <v>0.336695</v>
      </c>
      <c r="F544" t="n">
        <v>0.33498</v>
      </c>
      <c r="G544" t="n">
        <v>0.863514</v>
      </c>
      <c r="H544" t="n">
        <v>0.758586</v>
      </c>
      <c r="I544" t="n">
        <v>0.360899</v>
      </c>
      <c r="J544" t="n">
        <v>0.536609</v>
      </c>
      <c r="K544" t="n">
        <v>0</v>
      </c>
      <c r="L544" t="n">
        <v>0.3</v>
      </c>
      <c r="M544" t="n">
        <v>0.35905</v>
      </c>
    </row>
    <row r="545">
      <c r="A545" t="inlineStr">
        <is>
          <t>hp-wide</t>
        </is>
      </c>
      <c r="B545" t="n">
        <v>4</v>
      </c>
      <c r="C545" t="n">
        <v>0.297704</v>
      </c>
      <c r="D545" t="n">
        <v>0.876231</v>
      </c>
      <c r="E545" t="n">
        <v>0.306896</v>
      </c>
      <c r="F545" t="n">
        <v>0.312132</v>
      </c>
      <c r="G545" t="n">
        <v>0.870764</v>
      </c>
      <c r="H545" t="n">
        <v>0.802553</v>
      </c>
      <c r="I545" t="n">
        <v>0.35921</v>
      </c>
      <c r="J545" t="n">
        <v>0.614101</v>
      </c>
      <c r="K545" t="n">
        <v>0</v>
      </c>
      <c r="L545" t="n">
        <v>0.3</v>
      </c>
      <c r="M545" t="n">
        <v>0.358679</v>
      </c>
    </row>
    <row r="546">
      <c r="A546" t="inlineStr">
        <is>
          <t>hp-wide</t>
        </is>
      </c>
      <c r="B546" t="n">
        <v>5</v>
      </c>
      <c r="C546" t="n">
        <v>0.278767</v>
      </c>
      <c r="D546" t="n">
        <v>0.886278</v>
      </c>
      <c r="E546" t="n">
        <v>0.285194</v>
      </c>
      <c r="F546" t="n">
        <v>0.291158</v>
      </c>
      <c r="G546" t="n">
        <v>0.880478</v>
      </c>
      <c r="H546" t="n">
        <v>0.803668</v>
      </c>
      <c r="I546" t="n">
        <v>0.357911</v>
      </c>
      <c r="J546" t="n">
        <v>0.679107</v>
      </c>
      <c r="K546" t="n">
        <v>0</v>
      </c>
      <c r="L546" t="n">
        <v>0.3</v>
      </c>
      <c r="M546" t="n">
        <v>0.358754</v>
      </c>
    </row>
    <row r="547">
      <c r="A547" t="inlineStr">
        <is>
          <t>hp-wide</t>
        </is>
      </c>
      <c r="B547" t="n">
        <v>6</v>
      </c>
      <c r="C547" t="n">
        <v>0.254438</v>
      </c>
      <c r="D547" t="n">
        <v>0.897517</v>
      </c>
      <c r="E547" t="n">
        <v>0.270004</v>
      </c>
      <c r="F547" t="n">
        <v>0.27148</v>
      </c>
      <c r="G547" t="n">
        <v>0.890687</v>
      </c>
      <c r="H547" t="n">
        <v>0.826931</v>
      </c>
      <c r="I547" t="n">
        <v>0.35398</v>
      </c>
      <c r="J547" t="n">
        <v>0.74447</v>
      </c>
      <c r="K547" t="n">
        <v>0</v>
      </c>
      <c r="L547" t="n">
        <v>0.3</v>
      </c>
      <c r="M547" t="n">
        <v>0.362009</v>
      </c>
    </row>
    <row r="548">
      <c r="A548" t="inlineStr">
        <is>
          <t>hp-wide</t>
        </is>
      </c>
      <c r="B548" t="n">
        <v>7</v>
      </c>
      <c r="C548" t="n">
        <v>0.247476</v>
      </c>
      <c r="D548" t="n">
        <v>0.8988</v>
      </c>
      <c r="E548" t="n">
        <v>0.256653</v>
      </c>
      <c r="F548" t="n">
        <v>0.265244</v>
      </c>
      <c r="G548" t="n">
        <v>0.8909550000000001</v>
      </c>
      <c r="H548" t="n">
        <v>0.82394</v>
      </c>
      <c r="I548" t="n">
        <v>0.351543</v>
      </c>
      <c r="J548" t="n">
        <v>0.487304</v>
      </c>
      <c r="K548" t="n">
        <v>0</v>
      </c>
      <c r="L548" t="n">
        <v>0.3</v>
      </c>
      <c r="M548" t="n">
        <v>0.358398</v>
      </c>
    </row>
    <row r="549">
      <c r="A549" t="inlineStr">
        <is>
          <t>hp-wide</t>
        </is>
      </c>
      <c r="B549" t="n">
        <v>8</v>
      </c>
      <c r="C549" t="n">
        <v>0.2319</v>
      </c>
      <c r="D549" t="n">
        <v>0.905848</v>
      </c>
      <c r="E549" t="n">
        <v>0.243882</v>
      </c>
      <c r="F549" t="n">
        <v>0.249238</v>
      </c>
      <c r="G549" t="n">
        <v>0.899905</v>
      </c>
      <c r="H549" t="n">
        <v>0.841767</v>
      </c>
      <c r="I549" t="n">
        <v>0.343878</v>
      </c>
      <c r="J549" t="n">
        <v>0.621659</v>
      </c>
      <c r="K549" t="n">
        <v>0</v>
      </c>
      <c r="L549" t="n">
        <v>0.3</v>
      </c>
      <c r="M549" t="n">
        <v>0.359259</v>
      </c>
    </row>
    <row r="550">
      <c r="A550" t="inlineStr">
        <is>
          <t>hp-wide</t>
        </is>
      </c>
      <c r="B550" t="n">
        <v>9</v>
      </c>
      <c r="C550" t="n">
        <v>0.224934</v>
      </c>
      <c r="D550" t="n">
        <v>0.908925</v>
      </c>
      <c r="E550" t="n">
        <v>0.233736</v>
      </c>
      <c r="F550" t="n">
        <v>0.246543</v>
      </c>
      <c r="G550" t="n">
        <v>0.901153</v>
      </c>
      <c r="H550" t="n">
        <v>0.837437</v>
      </c>
      <c r="I550" t="n">
        <v>0.342566</v>
      </c>
      <c r="J550" t="n">
        <v>0.65449</v>
      </c>
      <c r="K550" t="n">
        <v>0</v>
      </c>
      <c r="L550" t="n">
        <v>0.3</v>
      </c>
      <c r="M550" t="n">
        <v>0.366936</v>
      </c>
    </row>
    <row r="551">
      <c r="A551" t="inlineStr">
        <is>
          <t>hp-wide</t>
        </is>
      </c>
      <c r="B551" t="n">
        <v>10</v>
      </c>
      <c r="C551" t="n">
        <v>0.214653</v>
      </c>
      <c r="D551" t="n">
        <v>0.913198</v>
      </c>
      <c r="E551" t="n">
        <v>0.227294</v>
      </c>
      <c r="F551" t="n">
        <v>0.232756</v>
      </c>
      <c r="G551" t="n">
        <v>0.906897</v>
      </c>
      <c r="H551" t="n">
        <v>0.838263</v>
      </c>
      <c r="I551" t="n">
        <v>0.342673</v>
      </c>
      <c r="J551" t="n">
        <v>0.604934</v>
      </c>
      <c r="K551" t="n">
        <v>0</v>
      </c>
      <c r="L551" t="n">
        <v>0.3</v>
      </c>
      <c r="M551" t="n">
        <v>0.358739</v>
      </c>
    </row>
    <row r="552">
      <c r="A552" t="inlineStr">
        <is>
          <t>hp-wide</t>
        </is>
      </c>
      <c r="B552" t="n">
        <v>11</v>
      </c>
      <c r="C552" t="n">
        <v>0.20725</v>
      </c>
      <c r="D552" t="n">
        <v>0.916372</v>
      </c>
      <c r="E552" t="n">
        <v>0.217981</v>
      </c>
      <c r="F552" t="n">
        <v>0.22925</v>
      </c>
      <c r="G552" t="n">
        <v>0.908231</v>
      </c>
      <c r="H552" t="n">
        <v>0.84373</v>
      </c>
      <c r="I552" t="n">
        <v>0.337816</v>
      </c>
      <c r="J552" t="n">
        <v>0.593336</v>
      </c>
      <c r="K552" t="n">
        <v>0</v>
      </c>
      <c r="L552" t="n">
        <v>0.3</v>
      </c>
      <c r="M552" t="n">
        <v>0.358815</v>
      </c>
    </row>
    <row r="553">
      <c r="A553" t="inlineStr">
        <is>
          <t>hp-wide</t>
        </is>
      </c>
      <c r="B553" t="n">
        <v>12</v>
      </c>
      <c r="C553" t="n">
        <v>0.206118</v>
      </c>
      <c r="D553" t="n">
        <v>0.918445</v>
      </c>
      <c r="E553" t="n">
        <v>0.211315</v>
      </c>
      <c r="F553" t="n">
        <v>0.231588</v>
      </c>
      <c r="G553" t="n">
        <v>0.908705</v>
      </c>
      <c r="H553" t="n">
        <v>0.849943</v>
      </c>
      <c r="I553" t="n">
        <v>0.336652</v>
      </c>
      <c r="J553" t="n">
        <v>0.950368</v>
      </c>
      <c r="K553" t="n">
        <v>0</v>
      </c>
      <c r="L553" t="n">
        <v>0.3</v>
      </c>
      <c r="M553" t="n">
        <v>0.359539</v>
      </c>
    </row>
    <row r="554">
      <c r="A554" t="inlineStr">
        <is>
          <t>hp-wide</t>
        </is>
      </c>
      <c r="B554" t="n">
        <v>13</v>
      </c>
      <c r="C554" t="n">
        <v>0.196877</v>
      </c>
      <c r="D554" t="n">
        <v>0.919096</v>
      </c>
      <c r="E554" t="n">
        <v>0.206669</v>
      </c>
      <c r="F554" t="n">
        <v>0.220059</v>
      </c>
      <c r="G554" t="n">
        <v>0.909985</v>
      </c>
      <c r="H554" t="n">
        <v>0.855085</v>
      </c>
      <c r="I554" t="n">
        <v>0.337006</v>
      </c>
      <c r="J554" t="n">
        <v>0.6248860000000001</v>
      </c>
      <c r="K554" t="n">
        <v>0</v>
      </c>
      <c r="L554" t="n">
        <v>0.3</v>
      </c>
      <c r="M554" t="n">
        <v>0.358992</v>
      </c>
    </row>
    <row r="555">
      <c r="A555" t="inlineStr">
        <is>
          <t>hp-wide</t>
        </is>
      </c>
      <c r="B555" t="n">
        <v>14</v>
      </c>
      <c r="C555" t="n">
        <v>0.195861</v>
      </c>
      <c r="D555" t="n">
        <v>0.920271</v>
      </c>
      <c r="E555" t="n">
        <v>0.199148</v>
      </c>
      <c r="F555" t="n">
        <v>0.220351</v>
      </c>
      <c r="G555" t="n">
        <v>0.912599</v>
      </c>
      <c r="H555" t="n">
        <v>0.865689</v>
      </c>
      <c r="I555" t="n">
        <v>0.331263</v>
      </c>
      <c r="J555" t="n">
        <v>0.493758</v>
      </c>
      <c r="K555" t="n">
        <v>0</v>
      </c>
      <c r="L555" t="n">
        <v>0.3</v>
      </c>
      <c r="M555" t="n">
        <v>0.360672</v>
      </c>
    </row>
    <row r="556">
      <c r="A556" t="inlineStr">
        <is>
          <t>hp-wide</t>
        </is>
      </c>
      <c r="B556" t="n">
        <v>15</v>
      </c>
      <c r="C556" t="n">
        <v>0.190831</v>
      </c>
      <c r="D556" t="n">
        <v>0.923154</v>
      </c>
      <c r="E556" t="n">
        <v>0.195831</v>
      </c>
      <c r="F556" t="n">
        <v>0.2169</v>
      </c>
      <c r="G556" t="n">
        <v>0.913373</v>
      </c>
      <c r="H556" t="n">
        <v>0.858619</v>
      </c>
      <c r="I556" t="n">
        <v>0.333537</v>
      </c>
      <c r="J556" t="n">
        <v>0.46419</v>
      </c>
      <c r="K556" t="n">
        <v>0</v>
      </c>
      <c r="L556" t="n">
        <v>0.3</v>
      </c>
      <c r="M556" t="n">
        <v>0.35959</v>
      </c>
    </row>
    <row r="557">
      <c r="A557" t="inlineStr">
        <is>
          <t>hp-wide</t>
        </is>
      </c>
      <c r="B557" t="n">
        <v>16</v>
      </c>
      <c r="C557" t="n">
        <v>0.180228</v>
      </c>
      <c r="D557" t="n">
        <v>0.927798</v>
      </c>
      <c r="E557" t="n">
        <v>0.191161</v>
      </c>
      <c r="F557" t="n">
        <v>0.207086</v>
      </c>
      <c r="G557" t="n">
        <v>0.918225</v>
      </c>
      <c r="H557" t="n">
        <v>0.868951</v>
      </c>
      <c r="I557" t="n">
        <v>0.33102</v>
      </c>
      <c r="J557" t="n">
        <v>0.597796</v>
      </c>
      <c r="K557" t="n">
        <v>0</v>
      </c>
      <c r="L557" t="n">
        <v>0.3</v>
      </c>
      <c r="M557" t="n">
        <v>0.358545</v>
      </c>
    </row>
    <row r="558">
      <c r="A558" t="inlineStr">
        <is>
          <t>hp-wide</t>
        </is>
      </c>
      <c r="B558" t="n">
        <v>17</v>
      </c>
      <c r="C558" t="n">
        <v>0.181557</v>
      </c>
      <c r="D558" t="n">
        <v>0.926951</v>
      </c>
      <c r="E558" t="n">
        <v>0.186741</v>
      </c>
      <c r="F558" t="n">
        <v>0.209383</v>
      </c>
      <c r="G558" t="n">
        <v>0.918397</v>
      </c>
      <c r="H558" t="n">
        <v>0.865579</v>
      </c>
      <c r="I558" t="n">
        <v>0.330315</v>
      </c>
      <c r="J558" t="n">
        <v>0.676158</v>
      </c>
      <c r="K558" t="n">
        <v>0</v>
      </c>
      <c r="L558" t="n">
        <v>0.3</v>
      </c>
      <c r="M558" t="n">
        <v>0.360378</v>
      </c>
    </row>
    <row r="559">
      <c r="A559" t="inlineStr">
        <is>
          <t>hp-wide</t>
        </is>
      </c>
      <c r="B559" t="n">
        <v>18</v>
      </c>
      <c r="C559" t="n">
        <v>0.1763</v>
      </c>
      <c r="D559" t="n">
        <v>0.928713</v>
      </c>
      <c r="E559" t="n">
        <v>0.184156</v>
      </c>
      <c r="F559" t="n">
        <v>0.204068</v>
      </c>
      <c r="G559" t="n">
        <v>0.919247</v>
      </c>
      <c r="H559" t="n">
        <v>0.878974</v>
      </c>
      <c r="I559" t="n">
        <v>0.330063</v>
      </c>
      <c r="J559" t="n">
        <v>0.470564</v>
      </c>
      <c r="K559" t="n">
        <v>0</v>
      </c>
      <c r="L559" t="n">
        <v>0.3</v>
      </c>
      <c r="M559" t="n">
        <v>0.357486</v>
      </c>
    </row>
    <row r="560">
      <c r="A560" t="inlineStr">
        <is>
          <t>hp-wide</t>
        </is>
      </c>
      <c r="B560" t="n">
        <v>19</v>
      </c>
      <c r="C560" t="n">
        <v>0.170893</v>
      </c>
      <c r="D560" t="n">
        <v>0.931768</v>
      </c>
      <c r="E560" t="n">
        <v>0.182513</v>
      </c>
      <c r="F560" t="n">
        <v>0.200024</v>
      </c>
      <c r="G560" t="n">
        <v>0.92171</v>
      </c>
      <c r="H560" t="n">
        <v>0.875889</v>
      </c>
      <c r="I560" t="n">
        <v>0.331557</v>
      </c>
      <c r="J560" t="n">
        <v>0.824814</v>
      </c>
      <c r="K560" t="n">
        <v>0</v>
      </c>
      <c r="L560" t="n">
        <v>0.3</v>
      </c>
      <c r="M560" t="n">
        <v>0.357643</v>
      </c>
    </row>
    <row r="561">
      <c r="A561" t="inlineStr">
        <is>
          <t>hp-wide</t>
        </is>
      </c>
      <c r="B561" t="n">
        <v>20</v>
      </c>
      <c r="C561" t="n">
        <v>0.165103</v>
      </c>
      <c r="D561" t="n">
        <v>0.933943</v>
      </c>
      <c r="E561" t="n">
        <v>0.176963</v>
      </c>
      <c r="F561" t="n">
        <v>0.197162</v>
      </c>
      <c r="G561" t="n">
        <v>0.922054</v>
      </c>
      <c r="H561" t="n">
        <v>0.873646</v>
      </c>
      <c r="I561" t="n">
        <v>0.325524</v>
      </c>
      <c r="J561" t="n">
        <v>0.583687</v>
      </c>
      <c r="K561" t="n">
        <v>0</v>
      </c>
      <c r="L561" t="n">
        <v>0.3</v>
      </c>
      <c r="M561" t="n">
        <v>0.359399</v>
      </c>
    </row>
    <row r="562">
      <c r="A562" t="inlineStr">
        <is>
          <t>hp-deep</t>
        </is>
      </c>
      <c r="B562" t="n">
        <v>1</v>
      </c>
      <c r="C562" t="n">
        <v>0.430351</v>
      </c>
      <c r="D562" t="n">
        <v>0.81863</v>
      </c>
      <c r="E562" t="n">
        <v>0.534313</v>
      </c>
      <c r="F562" t="n">
        <v>0.434721</v>
      </c>
      <c r="G562" t="n">
        <v>0.816161</v>
      </c>
      <c r="H562" t="n">
        <v>0.631993</v>
      </c>
      <c r="I562" t="n">
        <v>0.414763</v>
      </c>
      <c r="J562" t="n">
        <v>4.023197</v>
      </c>
      <c r="K562" t="n">
        <v>0</v>
      </c>
      <c r="L562" t="n">
        <v>0.3</v>
      </c>
      <c r="M562" t="n">
        <v>0.381075</v>
      </c>
    </row>
    <row r="563">
      <c r="A563" t="inlineStr">
        <is>
          <t>hp-deep</t>
        </is>
      </c>
      <c r="B563" t="n">
        <v>2</v>
      </c>
      <c r="C563" t="n">
        <v>0.372554</v>
      </c>
      <c r="D563" t="n">
        <v>0.845415</v>
      </c>
      <c r="E563" t="n">
        <v>0.403709</v>
      </c>
      <c r="F563" t="n">
        <v>0.378238</v>
      </c>
      <c r="G563" t="n">
        <v>0.844323</v>
      </c>
      <c r="H563" t="n">
        <v>0.729123</v>
      </c>
      <c r="I563" t="n">
        <v>0.385243</v>
      </c>
      <c r="J563" t="n">
        <v>0.856999</v>
      </c>
      <c r="K563" t="n">
        <v>0</v>
      </c>
      <c r="L563" t="n">
        <v>0.3</v>
      </c>
      <c r="M563" t="n">
        <v>0.364987</v>
      </c>
    </row>
    <row r="564">
      <c r="A564" t="inlineStr">
        <is>
          <t>hp-deep</t>
        </is>
      </c>
      <c r="B564" t="n">
        <v>3</v>
      </c>
      <c r="C564" t="n">
        <v>0.344374</v>
      </c>
      <c r="D564" t="n">
        <v>0.8550450000000001</v>
      </c>
      <c r="E564" t="n">
        <v>0.35736</v>
      </c>
      <c r="F564" t="n">
        <v>0.353326</v>
      </c>
      <c r="G564" t="n">
        <v>0.852445</v>
      </c>
      <c r="H564" t="n">
        <v>0.732002</v>
      </c>
      <c r="I564" t="n">
        <v>0.387396</v>
      </c>
      <c r="J564" t="n">
        <v>0.745472</v>
      </c>
      <c r="K564" t="n">
        <v>0</v>
      </c>
      <c r="L564" t="n">
        <v>0.3</v>
      </c>
      <c r="M564" t="n">
        <v>0.365809</v>
      </c>
    </row>
    <row r="565">
      <c r="A565" t="inlineStr">
        <is>
          <t>hp-deep</t>
        </is>
      </c>
      <c r="B565" t="n">
        <v>4</v>
      </c>
      <c r="C565" t="n">
        <v>0.324263</v>
      </c>
      <c r="D565" t="n">
        <v>0.8640679999999999</v>
      </c>
      <c r="E565" t="n">
        <v>0.329308</v>
      </c>
      <c r="F565" t="n">
        <v>0.33564</v>
      </c>
      <c r="G565" t="n">
        <v>0.858996</v>
      </c>
      <c r="H565" t="n">
        <v>0.771899</v>
      </c>
      <c r="I565" t="n">
        <v>0.38516</v>
      </c>
      <c r="J565" t="n">
        <v>0.576677</v>
      </c>
      <c r="K565" t="n">
        <v>0</v>
      </c>
      <c r="L565" t="n">
        <v>0.3</v>
      </c>
      <c r="M565" t="n">
        <v>0.367952</v>
      </c>
    </row>
    <row r="566">
      <c r="A566" t="inlineStr">
        <is>
          <t>hp-deep</t>
        </is>
      </c>
      <c r="B566" t="n">
        <v>5</v>
      </c>
      <c r="C566" t="n">
        <v>0.296217</v>
      </c>
      <c r="D566" t="n">
        <v>0.877791</v>
      </c>
      <c r="E566" t="n">
        <v>0.307608</v>
      </c>
      <c r="F566" t="n">
        <v>0.306319</v>
      </c>
      <c r="G566" t="n">
        <v>0.87369</v>
      </c>
      <c r="H566" t="n">
        <v>0.784135</v>
      </c>
      <c r="I566" t="n">
        <v>0.384095</v>
      </c>
      <c r="J566" t="n">
        <v>0.661841</v>
      </c>
      <c r="K566" t="n">
        <v>0</v>
      </c>
      <c r="L566" t="n">
        <v>0.3</v>
      </c>
      <c r="M566" t="n">
        <v>0.376868</v>
      </c>
    </row>
    <row r="567">
      <c r="A567" t="inlineStr">
        <is>
          <t>hp-deep</t>
        </is>
      </c>
      <c r="B567" t="n">
        <v>6</v>
      </c>
      <c r="C567" t="n">
        <v>0.281547</v>
      </c>
      <c r="D567" t="n">
        <v>0.885351</v>
      </c>
      <c r="E567" t="n">
        <v>0.293332</v>
      </c>
      <c r="F567" t="n">
        <v>0.294484</v>
      </c>
      <c r="G567" t="n">
        <v>0.882038</v>
      </c>
      <c r="H567" t="n">
        <v>0.808252</v>
      </c>
      <c r="I567" t="n">
        <v>0.381523</v>
      </c>
      <c r="J567" t="n">
        <v>0.737457</v>
      </c>
      <c r="K567" t="n">
        <v>0</v>
      </c>
      <c r="L567" t="n">
        <v>0.3</v>
      </c>
      <c r="M567" t="n">
        <v>0.367699</v>
      </c>
    </row>
    <row r="568">
      <c r="A568" t="inlineStr">
        <is>
          <t>hp-deep</t>
        </is>
      </c>
      <c r="B568" t="n">
        <v>7</v>
      </c>
      <c r="C568" t="n">
        <v>0.278962</v>
      </c>
      <c r="D568" t="n">
        <v>0.883985</v>
      </c>
      <c r="E568" t="n">
        <v>0.279182</v>
      </c>
      <c r="F568" t="n">
        <v>0.294383</v>
      </c>
      <c r="G568" t="n">
        <v>0.878821</v>
      </c>
      <c r="H568" t="n">
        <v>0.79344</v>
      </c>
      <c r="I568" t="n">
        <v>0.378645</v>
      </c>
      <c r="J568" t="n">
        <v>0.5581199999999999</v>
      </c>
      <c r="K568" t="n">
        <v>0</v>
      </c>
      <c r="L568" t="n">
        <v>0.3</v>
      </c>
      <c r="M568" t="n">
        <v>0.36767</v>
      </c>
    </row>
    <row r="569">
      <c r="A569" t="inlineStr">
        <is>
          <t>hp-deep</t>
        </is>
      </c>
      <c r="B569" t="n">
        <v>8</v>
      </c>
      <c r="C569" t="n">
        <v>0.25553</v>
      </c>
      <c r="D569" t="n">
        <v>0.8944</v>
      </c>
      <c r="E569" t="n">
        <v>0.269144</v>
      </c>
      <c r="F569" t="n">
        <v>0.267732</v>
      </c>
      <c r="G569" t="n">
        <v>0.890514</v>
      </c>
      <c r="H569" t="n">
        <v>0.803875</v>
      </c>
      <c r="I569" t="n">
        <v>0.372968</v>
      </c>
      <c r="J569" t="n">
        <v>0.667536</v>
      </c>
      <c r="K569" t="n">
        <v>0</v>
      </c>
      <c r="L569" t="n">
        <v>0.3</v>
      </c>
      <c r="M569" t="n">
        <v>0.37759</v>
      </c>
    </row>
    <row r="570">
      <c r="A570" t="inlineStr">
        <is>
          <t>hp-deep</t>
        </is>
      </c>
      <c r="B570" t="n">
        <v>9</v>
      </c>
      <c r="C570" t="n">
        <v>0.25458</v>
      </c>
      <c r="D570" t="n">
        <v>0.895667</v>
      </c>
      <c r="E570" t="n">
        <v>0.259544</v>
      </c>
      <c r="F570" t="n">
        <v>0.268388</v>
      </c>
      <c r="G570" t="n">
        <v>0.892193</v>
      </c>
      <c r="H570" t="n">
        <v>0.795363</v>
      </c>
      <c r="I570" t="n">
        <v>0.373489</v>
      </c>
      <c r="J570" t="n">
        <v>0.597996</v>
      </c>
      <c r="K570" t="n">
        <v>0</v>
      </c>
      <c r="L570" t="n">
        <v>0.3</v>
      </c>
      <c r="M570" t="n">
        <v>0.38077</v>
      </c>
    </row>
    <row r="571">
      <c r="A571" t="inlineStr">
        <is>
          <t>hp-deep</t>
        </is>
      </c>
      <c r="B571" t="n">
        <v>10</v>
      </c>
      <c r="C571" t="n">
        <v>0.249385</v>
      </c>
      <c r="D571" t="n">
        <v>0.896573</v>
      </c>
      <c r="E571" t="n">
        <v>0.252906</v>
      </c>
      <c r="F571" t="n">
        <v>0.263592</v>
      </c>
      <c r="G571" t="n">
        <v>0.89201</v>
      </c>
      <c r="H571" t="n">
        <v>0.804163</v>
      </c>
      <c r="I571" t="n">
        <v>0.37054</v>
      </c>
      <c r="J571" t="n">
        <v>0.720494</v>
      </c>
      <c r="K571" t="n">
        <v>0</v>
      </c>
      <c r="L571" t="n">
        <v>0.3</v>
      </c>
      <c r="M571" t="n">
        <v>0.369408</v>
      </c>
    </row>
    <row r="572">
      <c r="A572" t="inlineStr">
        <is>
          <t>hp-deep</t>
        </is>
      </c>
      <c r="B572" t="n">
        <v>11</v>
      </c>
      <c r="C572" t="n">
        <v>0.236087</v>
      </c>
      <c r="D572" t="n">
        <v>0.905017</v>
      </c>
      <c r="E572" t="n">
        <v>0.244778</v>
      </c>
      <c r="F572" t="n">
        <v>0.254095</v>
      </c>
      <c r="G572" t="n">
        <v>0.898367</v>
      </c>
      <c r="H572" t="n">
        <v>0.828981</v>
      </c>
      <c r="I572" t="n">
        <v>0.366068</v>
      </c>
      <c r="J572" t="n">
        <v>0.5392130000000001</v>
      </c>
      <c r="K572" t="n">
        <v>0</v>
      </c>
      <c r="L572" t="n">
        <v>0.3</v>
      </c>
      <c r="M572" t="n">
        <v>0.37739</v>
      </c>
    </row>
    <row r="573">
      <c r="A573" t="inlineStr">
        <is>
          <t>hp-deep</t>
        </is>
      </c>
      <c r="B573" t="n">
        <v>12</v>
      </c>
      <c r="C573" t="n">
        <v>0.244858</v>
      </c>
      <c r="D573" t="n">
        <v>0.902153</v>
      </c>
      <c r="E573" t="n">
        <v>0.240672</v>
      </c>
      <c r="F573" t="n">
        <v>0.264051</v>
      </c>
      <c r="G573" t="n">
        <v>0.89684</v>
      </c>
      <c r="H573" t="n">
        <v>0.820348</v>
      </c>
      <c r="I573" t="n">
        <v>0.368576</v>
      </c>
      <c r="J573" t="n">
        <v>0.834736</v>
      </c>
      <c r="K573" t="n">
        <v>0</v>
      </c>
      <c r="L573" t="n">
        <v>0.3</v>
      </c>
      <c r="M573" t="n">
        <v>0.369172</v>
      </c>
    </row>
    <row r="574">
      <c r="A574" t="inlineStr">
        <is>
          <t>hp-deep</t>
        </is>
      </c>
      <c r="B574" t="n">
        <v>13</v>
      </c>
      <c r="C574" t="n">
        <v>0.221521</v>
      </c>
      <c r="D574" t="n">
        <v>0.9110009999999999</v>
      </c>
      <c r="E574" t="n">
        <v>0.235401</v>
      </c>
      <c r="F574" t="n">
        <v>0.241575</v>
      </c>
      <c r="G574" t="n">
        <v>0.903046</v>
      </c>
      <c r="H574" t="n">
        <v>0.843718</v>
      </c>
      <c r="I574" t="n">
        <v>0.367841</v>
      </c>
      <c r="J574" t="n">
        <v>0.665353</v>
      </c>
      <c r="K574" t="n">
        <v>0</v>
      </c>
      <c r="L574" t="n">
        <v>0.3</v>
      </c>
      <c r="M574" t="n">
        <v>0.366635</v>
      </c>
    </row>
    <row r="575">
      <c r="A575" t="inlineStr">
        <is>
          <t>hp-deep</t>
        </is>
      </c>
      <c r="B575" t="n">
        <v>14</v>
      </c>
      <c r="C575" t="n">
        <v>0.216412</v>
      </c>
      <c r="D575" t="n">
        <v>0.911655</v>
      </c>
      <c r="E575" t="n">
        <v>0.230046</v>
      </c>
      <c r="F575" t="n">
        <v>0.237402</v>
      </c>
      <c r="G575" t="n">
        <v>0.904585</v>
      </c>
      <c r="H575" t="n">
        <v>0.838253</v>
      </c>
      <c r="I575" t="n">
        <v>0.364421</v>
      </c>
      <c r="J575" t="n">
        <v>0.569039</v>
      </c>
      <c r="K575" t="n">
        <v>0</v>
      </c>
      <c r="L575" t="n">
        <v>0.3</v>
      </c>
      <c r="M575" t="n">
        <v>0.366827</v>
      </c>
    </row>
    <row r="576">
      <c r="A576" t="inlineStr">
        <is>
          <t>hp-deep</t>
        </is>
      </c>
      <c r="B576" t="n">
        <v>15</v>
      </c>
      <c r="C576" t="n">
        <v>0.226173</v>
      </c>
      <c r="D576" t="n">
        <v>0.909011</v>
      </c>
      <c r="E576" t="n">
        <v>0.224754</v>
      </c>
      <c r="F576" t="n">
        <v>0.246915</v>
      </c>
      <c r="G576" t="n">
        <v>0.902713</v>
      </c>
      <c r="H576" t="n">
        <v>0.814474</v>
      </c>
      <c r="I576" t="n">
        <v>0.363653</v>
      </c>
      <c r="J576" t="n">
        <v>0.779767</v>
      </c>
      <c r="K576" t="n">
        <v>0</v>
      </c>
      <c r="L576" t="n">
        <v>0.3</v>
      </c>
      <c r="M576" t="n">
        <v>0.363927</v>
      </c>
    </row>
    <row r="577">
      <c r="A577" t="inlineStr">
        <is>
          <t>hp-deep</t>
        </is>
      </c>
      <c r="B577" t="n">
        <v>16</v>
      </c>
      <c r="C577" t="n">
        <v>0.207426</v>
      </c>
      <c r="D577" t="n">
        <v>0.91606</v>
      </c>
      <c r="E577" t="n">
        <v>0.224663</v>
      </c>
      <c r="F577" t="n">
        <v>0.229623</v>
      </c>
      <c r="G577" t="n">
        <v>0.908005</v>
      </c>
      <c r="H577" t="n">
        <v>0.847929</v>
      </c>
      <c r="I577" t="n">
        <v>0.36647</v>
      </c>
      <c r="J577" t="n">
        <v>0.561715</v>
      </c>
      <c r="K577" t="n">
        <v>0</v>
      </c>
      <c r="L577" t="n">
        <v>0.3</v>
      </c>
      <c r="M577" t="n">
        <v>0.36494</v>
      </c>
    </row>
    <row r="578">
      <c r="A578" t="inlineStr">
        <is>
          <t>hp-deep</t>
        </is>
      </c>
      <c r="B578" t="n">
        <v>17</v>
      </c>
      <c r="C578" t="n">
        <v>0.221462</v>
      </c>
      <c r="D578" t="n">
        <v>0.910178</v>
      </c>
      <c r="E578" t="n">
        <v>0.218851</v>
      </c>
      <c r="F578" t="n">
        <v>0.241942</v>
      </c>
      <c r="G578" t="n">
        <v>0.902326</v>
      </c>
      <c r="H578" t="n">
        <v>0.838853</v>
      </c>
      <c r="I578" t="n">
        <v>0.366146</v>
      </c>
      <c r="J578" t="n">
        <v>0.864663</v>
      </c>
      <c r="K578" t="n">
        <v>0</v>
      </c>
      <c r="L578" t="n">
        <v>0.3</v>
      </c>
      <c r="M578" t="n">
        <v>0.371672</v>
      </c>
    </row>
    <row r="579">
      <c r="A579" t="inlineStr">
        <is>
          <t>hp-deep</t>
        </is>
      </c>
      <c r="B579" t="n">
        <v>18</v>
      </c>
      <c r="C579" t="n">
        <v>0.217723</v>
      </c>
      <c r="D579" t="n">
        <v>0.913481</v>
      </c>
      <c r="E579" t="n">
        <v>0.216752</v>
      </c>
      <c r="F579" t="n">
        <v>0.239305</v>
      </c>
      <c r="G579" t="n">
        <v>0.905166</v>
      </c>
      <c r="H579" t="n">
        <v>0.851091</v>
      </c>
      <c r="I579" t="n">
        <v>0.364537</v>
      </c>
      <c r="J579" t="n">
        <v>0.746371</v>
      </c>
      <c r="K579" t="n">
        <v>0</v>
      </c>
      <c r="L579" t="n">
        <v>0.3</v>
      </c>
      <c r="M579" t="n">
        <v>0.369166</v>
      </c>
    </row>
    <row r="580">
      <c r="A580" t="inlineStr">
        <is>
          <t>hp-deep</t>
        </is>
      </c>
      <c r="B580" t="n">
        <v>19</v>
      </c>
      <c r="C580" t="n">
        <v>0.227195</v>
      </c>
      <c r="D580" t="n">
        <v>0.906467</v>
      </c>
      <c r="E580" t="n">
        <v>0.212292</v>
      </c>
      <c r="F580" t="n">
        <v>0.251849</v>
      </c>
      <c r="G580" t="n">
        <v>0.897571</v>
      </c>
      <c r="H580" t="n">
        <v>0.83</v>
      </c>
      <c r="I580" t="n">
        <v>0.358955</v>
      </c>
      <c r="J580" t="n">
        <v>0.683774</v>
      </c>
      <c r="K580" t="n">
        <v>0</v>
      </c>
      <c r="L580" t="n">
        <v>0.3</v>
      </c>
      <c r="M580" t="n">
        <v>0.368565</v>
      </c>
    </row>
    <row r="581">
      <c r="A581" t="inlineStr">
        <is>
          <t>hp-deep</t>
        </is>
      </c>
      <c r="B581" t="n">
        <v>20</v>
      </c>
      <c r="C581" t="n">
        <v>0.196671</v>
      </c>
      <c r="D581" t="n">
        <v>0.920118</v>
      </c>
      <c r="E581" t="n">
        <v>0.207331</v>
      </c>
      <c r="F581" t="n">
        <v>0.21982</v>
      </c>
      <c r="G581" t="n">
        <v>0.912674</v>
      </c>
      <c r="H581" t="n">
        <v>0.853719</v>
      </c>
      <c r="I581" t="n">
        <v>0.354224</v>
      </c>
      <c r="J581" t="n">
        <v>0.584036</v>
      </c>
      <c r="K581" t="n">
        <v>0</v>
      </c>
      <c r="L581" t="n">
        <v>0.3</v>
      </c>
      <c r="M581" t="n">
        <v>0.369479</v>
      </c>
    </row>
    <row r="582">
      <c r="A582" t="inlineStr">
        <is>
          <t>hp-ep40</t>
        </is>
      </c>
      <c r="B582" t="n">
        <v>1</v>
      </c>
      <c r="C582" t="n">
        <v>0.434944</v>
      </c>
      <c r="D582" t="n">
        <v>0.811194</v>
      </c>
      <c r="E582" t="n">
        <v>0.521267</v>
      </c>
      <c r="F582" t="n">
        <v>0.440036</v>
      </c>
      <c r="G582" t="n">
        <v>0.8091159999999999</v>
      </c>
      <c r="H582" t="n">
        <v>0.67459</v>
      </c>
      <c r="I582" t="n">
        <v>0.396706</v>
      </c>
      <c r="J582" t="n">
        <v>2.871076</v>
      </c>
      <c r="K582" t="n">
        <v>0</v>
      </c>
      <c r="L582" t="n">
        <v>0.3</v>
      </c>
      <c r="M582" t="n">
        <v>0.301056</v>
      </c>
    </row>
    <row r="583">
      <c r="A583" t="inlineStr">
        <is>
          <t>hp-ep40</t>
        </is>
      </c>
      <c r="B583" t="n">
        <v>2</v>
      </c>
      <c r="C583" t="n">
        <v>0.38613</v>
      </c>
      <c r="D583" t="n">
        <v>0.841126</v>
      </c>
      <c r="E583" t="n">
        <v>0.406904</v>
      </c>
      <c r="F583" t="n">
        <v>0.394516</v>
      </c>
      <c r="G583" t="n">
        <v>0.837138</v>
      </c>
      <c r="H583" t="n">
        <v>0.725614</v>
      </c>
      <c r="I583" t="n">
        <v>0.37311</v>
      </c>
      <c r="J583" t="n">
        <v>0.746748</v>
      </c>
      <c r="K583" t="n">
        <v>0</v>
      </c>
      <c r="L583" t="n">
        <v>0.3</v>
      </c>
      <c r="M583" t="n">
        <v>0.307097</v>
      </c>
    </row>
    <row r="584">
      <c r="A584" t="inlineStr">
        <is>
          <t>hp-ep40</t>
        </is>
      </c>
      <c r="B584" t="n">
        <v>3</v>
      </c>
      <c r="C584" t="n">
        <v>0.356035</v>
      </c>
      <c r="D584" t="n">
        <v>0.852741</v>
      </c>
      <c r="E584" t="n">
        <v>0.362352</v>
      </c>
      <c r="F584" t="n">
        <v>0.365087</v>
      </c>
      <c r="G584" t="n">
        <v>0.848175</v>
      </c>
      <c r="H584" t="n">
        <v>0.728088</v>
      </c>
      <c r="I584" t="n">
        <v>0.374092</v>
      </c>
      <c r="J584" t="n">
        <v>0.66614</v>
      </c>
      <c r="K584" t="n">
        <v>0</v>
      </c>
      <c r="L584" t="n">
        <v>0.3</v>
      </c>
      <c r="M584" t="n">
        <v>0.305806</v>
      </c>
    </row>
    <row r="585">
      <c r="A585" t="inlineStr">
        <is>
          <t>hp-ep40</t>
        </is>
      </c>
      <c r="B585" t="n">
        <v>4</v>
      </c>
      <c r="C585" t="n">
        <v>0.336762</v>
      </c>
      <c r="D585" t="n">
        <v>0.859609</v>
      </c>
      <c r="E585" t="n">
        <v>0.335777</v>
      </c>
      <c r="F585" t="n">
        <v>0.34652</v>
      </c>
      <c r="G585" t="n">
        <v>0.855791</v>
      </c>
      <c r="H585" t="n">
        <v>0.771947</v>
      </c>
      <c r="I585" t="n">
        <v>0.369997</v>
      </c>
      <c r="J585" t="n">
        <v>0.6384649999999999</v>
      </c>
      <c r="K585" t="n">
        <v>0</v>
      </c>
      <c r="L585" t="n">
        <v>0.3</v>
      </c>
      <c r="M585" t="n">
        <v>0.315618</v>
      </c>
    </row>
    <row r="586">
      <c r="A586" t="inlineStr">
        <is>
          <t>hp-ep40</t>
        </is>
      </c>
      <c r="B586" t="n">
        <v>5</v>
      </c>
      <c r="C586" t="n">
        <v>0.300193</v>
      </c>
      <c r="D586" t="n">
        <v>0.875984</v>
      </c>
      <c r="E586" t="n">
        <v>0.312851</v>
      </c>
      <c r="F586" t="n">
        <v>0.310436</v>
      </c>
      <c r="G586" t="n">
        <v>0.870184</v>
      </c>
      <c r="H586" t="n">
        <v>0.795309</v>
      </c>
      <c r="I586" t="n">
        <v>0.365017</v>
      </c>
      <c r="J586" t="n">
        <v>0.581753</v>
      </c>
      <c r="K586" t="n">
        <v>0</v>
      </c>
      <c r="L586" t="n">
        <v>0.3</v>
      </c>
      <c r="M586" t="n">
        <v>0.321572</v>
      </c>
    </row>
    <row r="587">
      <c r="A587" t="inlineStr">
        <is>
          <t>hp-ep40</t>
        </is>
      </c>
      <c r="B587" t="n">
        <v>6</v>
      </c>
      <c r="C587" t="n">
        <v>0.300121</v>
      </c>
      <c r="D587" t="n">
        <v>0.877767</v>
      </c>
      <c r="E587" t="n">
        <v>0.299735</v>
      </c>
      <c r="F587" t="n">
        <v>0.314544</v>
      </c>
      <c r="G587" t="n">
        <v>0.872443</v>
      </c>
      <c r="H587" t="n">
        <v>0.788829</v>
      </c>
      <c r="I587" t="n">
        <v>0.367803</v>
      </c>
      <c r="J587" t="n">
        <v>0.723912</v>
      </c>
      <c r="K587" t="n">
        <v>0</v>
      </c>
      <c r="L587" t="n">
        <v>0.3</v>
      </c>
      <c r="M587" t="n">
        <v>0.310846</v>
      </c>
    </row>
    <row r="588">
      <c r="A588" t="inlineStr">
        <is>
          <t>hp-ep40</t>
        </is>
      </c>
      <c r="B588" t="n">
        <v>7</v>
      </c>
      <c r="C588" t="n">
        <v>0.278052</v>
      </c>
      <c r="D588" t="n">
        <v>0.886058</v>
      </c>
      <c r="E588" t="n">
        <v>0.284493</v>
      </c>
      <c r="F588" t="n">
        <v>0.291571</v>
      </c>
      <c r="G588" t="n">
        <v>0.879553</v>
      </c>
      <c r="H588" t="n">
        <v>0.793786</v>
      </c>
      <c r="I588" t="n">
        <v>0.360762</v>
      </c>
      <c r="J588" t="n">
        <v>0.61838</v>
      </c>
      <c r="K588" t="n">
        <v>0</v>
      </c>
      <c r="L588" t="n">
        <v>0.3</v>
      </c>
      <c r="M588" t="n">
        <v>0.308778</v>
      </c>
    </row>
    <row r="589">
      <c r="A589" t="inlineStr">
        <is>
          <t>hp-ep40</t>
        </is>
      </c>
      <c r="B589" t="n">
        <v>8</v>
      </c>
      <c r="C589" t="n">
        <v>0.287913</v>
      </c>
      <c r="D589" t="n">
        <v>0.882253</v>
      </c>
      <c r="E589" t="n">
        <v>0.275962</v>
      </c>
      <c r="F589" t="n">
        <v>0.302058</v>
      </c>
      <c r="G589" t="n">
        <v>0.8771</v>
      </c>
      <c r="H589" t="n">
        <v>0.812527</v>
      </c>
      <c r="I589" t="n">
        <v>0.357884</v>
      </c>
      <c r="J589" t="n">
        <v>0.726919</v>
      </c>
      <c r="K589" t="n">
        <v>0</v>
      </c>
      <c r="L589" t="n">
        <v>0.3</v>
      </c>
      <c r="M589" t="n">
        <v>0.309591</v>
      </c>
    </row>
    <row r="590">
      <c r="A590" t="inlineStr">
        <is>
          <t>hp-ep40</t>
        </is>
      </c>
      <c r="B590" t="n">
        <v>9</v>
      </c>
      <c r="C590" t="n">
        <v>0.250175</v>
      </c>
      <c r="D590" t="n">
        <v>0.8977889999999999</v>
      </c>
      <c r="E590" t="n">
        <v>0.26762</v>
      </c>
      <c r="F590" t="n">
        <v>0.266955</v>
      </c>
      <c r="G590" t="n">
        <v>0.892472</v>
      </c>
      <c r="H590" t="n">
        <v>0.824146</v>
      </c>
      <c r="I590" t="n">
        <v>0.360093</v>
      </c>
      <c r="J590" t="n">
        <v>0.581806</v>
      </c>
      <c r="K590" t="n">
        <v>0</v>
      </c>
      <c r="L590" t="n">
        <v>0.3</v>
      </c>
      <c r="M590" t="n">
        <v>0.308265</v>
      </c>
    </row>
    <row r="591">
      <c r="A591" t="inlineStr">
        <is>
          <t>hp-ep40</t>
        </is>
      </c>
      <c r="B591" t="n">
        <v>10</v>
      </c>
      <c r="C591" t="n">
        <v>0.25559</v>
      </c>
      <c r="D591" t="n">
        <v>0.896331</v>
      </c>
      <c r="E591" t="n">
        <v>0.260253</v>
      </c>
      <c r="F591" t="n">
        <v>0.272327</v>
      </c>
      <c r="G591" t="n">
        <v>0.891751</v>
      </c>
      <c r="H591" t="n">
        <v>0.825927</v>
      </c>
      <c r="I591" t="n">
        <v>0.354629</v>
      </c>
      <c r="J591" t="n">
        <v>0.635378</v>
      </c>
      <c r="K591" t="n">
        <v>0</v>
      </c>
      <c r="L591" t="n">
        <v>0.3</v>
      </c>
      <c r="M591" t="n">
        <v>0.308939</v>
      </c>
    </row>
    <row r="592">
      <c r="A592" t="inlineStr">
        <is>
          <t>hp-ep40</t>
        </is>
      </c>
      <c r="B592" t="n">
        <v>11</v>
      </c>
      <c r="C592" t="n">
        <v>0.237681</v>
      </c>
      <c r="D592" t="n">
        <v>0.903095</v>
      </c>
      <c r="E592" t="n">
        <v>0.249534</v>
      </c>
      <c r="F592" t="n">
        <v>0.256475</v>
      </c>
      <c r="G592" t="n">
        <v>0.896248</v>
      </c>
      <c r="H592" t="n">
        <v>0.8283239999999999</v>
      </c>
      <c r="I592" t="n">
        <v>0.349262</v>
      </c>
      <c r="J592" t="n">
        <v>0.711025</v>
      </c>
      <c r="K592" t="n">
        <v>0</v>
      </c>
      <c r="L592" t="n">
        <v>0.3</v>
      </c>
      <c r="M592" t="n">
        <v>0.317758</v>
      </c>
    </row>
    <row r="593">
      <c r="A593" t="inlineStr">
        <is>
          <t>hp-ep40</t>
        </is>
      </c>
      <c r="B593" t="n">
        <v>12</v>
      </c>
      <c r="C593" t="n">
        <v>0.241936</v>
      </c>
      <c r="D593" t="n">
        <v>0.902648</v>
      </c>
      <c r="E593" t="n">
        <v>0.243909</v>
      </c>
      <c r="F593" t="n">
        <v>0.262306</v>
      </c>
      <c r="G593" t="n">
        <v>0.8947850000000001</v>
      </c>
      <c r="H593" t="n">
        <v>0.828196</v>
      </c>
      <c r="I593" t="n">
        <v>0.34785</v>
      </c>
      <c r="J593" t="n">
        <v>0.8572959999999999</v>
      </c>
      <c r="K593" t="n">
        <v>0</v>
      </c>
      <c r="L593" t="n">
        <v>0.3</v>
      </c>
      <c r="M593" t="n">
        <v>0.306439</v>
      </c>
    </row>
    <row r="594">
      <c r="A594" t="inlineStr">
        <is>
          <t>hp-ep40</t>
        </is>
      </c>
      <c r="B594" t="n">
        <v>13</v>
      </c>
      <c r="C594" t="n">
        <v>0.235168</v>
      </c>
      <c r="D594" t="n">
        <v>0.904458</v>
      </c>
      <c r="E594" t="n">
        <v>0.240604</v>
      </c>
      <c r="F594" t="n">
        <v>0.255019</v>
      </c>
      <c r="G594" t="n">
        <v>0.89685</v>
      </c>
      <c r="H594" t="n">
        <v>0.83728</v>
      </c>
      <c r="I594" t="n">
        <v>0.350745</v>
      </c>
      <c r="J594" t="n">
        <v>0.590817</v>
      </c>
      <c r="K594" t="n">
        <v>0</v>
      </c>
      <c r="L594" t="n">
        <v>0.3</v>
      </c>
      <c r="M594" t="n">
        <v>0.307435</v>
      </c>
    </row>
    <row r="595">
      <c r="A595" t="inlineStr">
        <is>
          <t>hp-ep40</t>
        </is>
      </c>
      <c r="B595" t="n">
        <v>14</v>
      </c>
      <c r="C595" t="n">
        <v>0.222363</v>
      </c>
      <c r="D595" t="n">
        <v>0.910296</v>
      </c>
      <c r="E595" t="n">
        <v>0.233355</v>
      </c>
      <c r="F595" t="n">
        <v>0.243171</v>
      </c>
      <c r="G595" t="n">
        <v>0.9025300000000001</v>
      </c>
      <c r="H595" t="n">
        <v>0.84757</v>
      </c>
      <c r="I595" t="n">
        <v>0.34693</v>
      </c>
      <c r="J595" t="n">
        <v>0.519267</v>
      </c>
      <c r="K595" t="n">
        <v>0</v>
      </c>
      <c r="L595" t="n">
        <v>0.3</v>
      </c>
      <c r="M595" t="n">
        <v>0.310679</v>
      </c>
    </row>
    <row r="596">
      <c r="A596" t="inlineStr">
        <is>
          <t>hp-ep40</t>
        </is>
      </c>
      <c r="B596" t="n">
        <v>15</v>
      </c>
      <c r="C596" t="n">
        <v>0.221916</v>
      </c>
      <c r="D596" t="n">
        <v>0.907911</v>
      </c>
      <c r="E596" t="n">
        <v>0.231412</v>
      </c>
      <c r="F596" t="n">
        <v>0.243985</v>
      </c>
      <c r="G596" t="n">
        <v>0.901454</v>
      </c>
      <c r="H596" t="n">
        <v>0.84349</v>
      </c>
      <c r="I596" t="n">
        <v>0.347355</v>
      </c>
      <c r="J596" t="n">
        <v>0.497717</v>
      </c>
      <c r="K596" t="n">
        <v>0</v>
      </c>
      <c r="L596" t="n">
        <v>0.3</v>
      </c>
      <c r="M596" t="n">
        <v>0.314288</v>
      </c>
    </row>
    <row r="597">
      <c r="A597" t="inlineStr">
        <is>
          <t>hp-ep40</t>
        </is>
      </c>
      <c r="B597" t="n">
        <v>16</v>
      </c>
      <c r="C597" t="n">
        <v>0.221694</v>
      </c>
      <c r="D597" t="n">
        <v>0.910138</v>
      </c>
      <c r="E597" t="n">
        <v>0.226859</v>
      </c>
      <c r="F597" t="n">
        <v>0.244506</v>
      </c>
      <c r="G597" t="n">
        <v>0.903799</v>
      </c>
      <c r="H597" t="n">
        <v>0.838645</v>
      </c>
      <c r="I597" t="n">
        <v>0.345185</v>
      </c>
      <c r="J597" t="n">
        <v>0.480921</v>
      </c>
      <c r="K597" t="n">
        <v>0</v>
      </c>
      <c r="L597" t="n">
        <v>0.3</v>
      </c>
      <c r="M597" t="n">
        <v>0.304878</v>
      </c>
    </row>
    <row r="598">
      <c r="A598" t="inlineStr">
        <is>
          <t>hp-ep40</t>
        </is>
      </c>
      <c r="B598" t="n">
        <v>17</v>
      </c>
      <c r="C598" t="n">
        <v>0.228441</v>
      </c>
      <c r="D598" t="n">
        <v>0.907223</v>
      </c>
      <c r="E598" t="n">
        <v>0.223031</v>
      </c>
      <c r="F598" t="n">
        <v>0.24916</v>
      </c>
      <c r="G598" t="n">
        <v>0.900142</v>
      </c>
      <c r="H598" t="n">
        <v>0.836494</v>
      </c>
      <c r="I598" t="n">
        <v>0.345271</v>
      </c>
      <c r="J598" t="n">
        <v>0.562436</v>
      </c>
      <c r="K598" t="n">
        <v>0</v>
      </c>
      <c r="L598" t="n">
        <v>0.3</v>
      </c>
      <c r="M598" t="n">
        <v>0.307511</v>
      </c>
    </row>
    <row r="599">
      <c r="A599" t="inlineStr">
        <is>
          <t>hp-ep40</t>
        </is>
      </c>
      <c r="B599" t="n">
        <v>18</v>
      </c>
      <c r="C599" t="n">
        <v>0.212455</v>
      </c>
      <c r="D599" t="n">
        <v>0.915285</v>
      </c>
      <c r="E599" t="n">
        <v>0.21948</v>
      </c>
      <c r="F599" t="n">
        <v>0.237136</v>
      </c>
      <c r="G599" t="n">
        <v>0.907231</v>
      </c>
      <c r="H599" t="n">
        <v>0.853526</v>
      </c>
      <c r="I599" t="n">
        <v>0.34364</v>
      </c>
      <c r="J599" t="n">
        <v>0.601287</v>
      </c>
      <c r="K599" t="n">
        <v>0</v>
      </c>
      <c r="L599" t="n">
        <v>0.3</v>
      </c>
      <c r="M599" t="n">
        <v>0.308823</v>
      </c>
    </row>
    <row r="600">
      <c r="A600" t="inlineStr">
        <is>
          <t>hp-ep40</t>
        </is>
      </c>
      <c r="B600" t="n">
        <v>19</v>
      </c>
      <c r="C600" t="n">
        <v>0.21086</v>
      </c>
      <c r="D600" t="n">
        <v>0.914045</v>
      </c>
      <c r="E600" t="n">
        <v>0.218149</v>
      </c>
      <c r="F600" t="n">
        <v>0.235232</v>
      </c>
      <c r="G600" t="n">
        <v>0.905456</v>
      </c>
      <c r="H600" t="n">
        <v>0.850512</v>
      </c>
      <c r="I600" t="n">
        <v>0.345593</v>
      </c>
      <c r="J600" t="n">
        <v>0.629509</v>
      </c>
      <c r="K600" t="n">
        <v>0</v>
      </c>
      <c r="L600" t="n">
        <v>0.3</v>
      </c>
      <c r="M600" t="n">
        <v>0.308048</v>
      </c>
    </row>
    <row r="601">
      <c r="A601" t="inlineStr">
        <is>
          <t>hp-ep40</t>
        </is>
      </c>
      <c r="B601" t="n">
        <v>20</v>
      </c>
      <c r="C601" t="n">
        <v>0.201119</v>
      </c>
      <c r="D601" t="n">
        <v>0.918273</v>
      </c>
      <c r="E601" t="n">
        <v>0.21329</v>
      </c>
      <c r="F601" t="n">
        <v>0.226118</v>
      </c>
      <c r="G601" t="n">
        <v>0.909759</v>
      </c>
      <c r="H601" t="n">
        <v>0.857084</v>
      </c>
      <c r="I601" t="n">
        <v>0.338556</v>
      </c>
      <c r="J601" t="n">
        <v>0.563014</v>
      </c>
      <c r="K601" t="n">
        <v>0</v>
      </c>
      <c r="L601" t="n">
        <v>0.3</v>
      </c>
      <c r="M601" t="n">
        <v>0.303711</v>
      </c>
    </row>
    <row r="602">
      <c r="A602" t="inlineStr">
        <is>
          <t>hp-ep40</t>
        </is>
      </c>
      <c r="B602" t="n">
        <v>21</v>
      </c>
      <c r="C602" t="n">
        <v>0.209828</v>
      </c>
      <c r="D602" t="n">
        <v>0.914632</v>
      </c>
      <c r="E602" t="n">
        <v>0.211807</v>
      </c>
      <c r="F602" t="n">
        <v>0.233985</v>
      </c>
      <c r="G602" t="n">
        <v>0.907349</v>
      </c>
      <c r="H602" t="n">
        <v>0.852988</v>
      </c>
      <c r="I602" t="n">
        <v>0.341526</v>
      </c>
      <c r="J602" t="n">
        <v>0.479956</v>
      </c>
      <c r="K602" t="n">
        <v>0</v>
      </c>
      <c r="L602" t="n">
        <v>0.3</v>
      </c>
      <c r="M602" t="n">
        <v>0.304649</v>
      </c>
    </row>
    <row r="603">
      <c r="A603" t="inlineStr">
        <is>
          <t>hp-ep40</t>
        </is>
      </c>
      <c r="B603" t="n">
        <v>22</v>
      </c>
      <c r="C603" t="n">
        <v>0.197177</v>
      </c>
      <c r="D603" t="n">
        <v>0.920411</v>
      </c>
      <c r="E603" t="n">
        <v>0.207333</v>
      </c>
      <c r="F603" t="n">
        <v>0.223161</v>
      </c>
      <c r="G603" t="n">
        <v>0.911792</v>
      </c>
      <c r="H603" t="n">
        <v>0.851719</v>
      </c>
      <c r="I603" t="n">
        <v>0.338403</v>
      </c>
      <c r="J603" t="n">
        <v>0.628304</v>
      </c>
      <c r="K603" t="n">
        <v>0</v>
      </c>
      <c r="L603" t="n">
        <v>0.3</v>
      </c>
      <c r="M603" t="n">
        <v>0.311877</v>
      </c>
    </row>
    <row r="604">
      <c r="A604" t="inlineStr">
        <is>
          <t>hp-ep40</t>
        </is>
      </c>
      <c r="B604" t="n">
        <v>23</v>
      </c>
      <c r="C604" t="n">
        <v>0.191672</v>
      </c>
      <c r="D604" t="n">
        <v>0.922495</v>
      </c>
      <c r="E604" t="n">
        <v>0.20484</v>
      </c>
      <c r="F604" t="n">
        <v>0.221381</v>
      </c>
      <c r="G604" t="n">
        <v>0.912502</v>
      </c>
      <c r="H604" t="n">
        <v>0.861029</v>
      </c>
      <c r="I604" t="n">
        <v>0.336153</v>
      </c>
      <c r="J604" t="n">
        <v>0.495169</v>
      </c>
      <c r="K604" t="n">
        <v>0</v>
      </c>
      <c r="L604" t="n">
        <v>0.3</v>
      </c>
      <c r="M604" t="n">
        <v>0.318202</v>
      </c>
    </row>
    <row r="605">
      <c r="A605" t="inlineStr">
        <is>
          <t>hp-ep40</t>
        </is>
      </c>
      <c r="B605" t="n">
        <v>24</v>
      </c>
      <c r="C605" t="n">
        <v>0.192816</v>
      </c>
      <c r="D605" t="n">
        <v>0.922347</v>
      </c>
      <c r="E605" t="n">
        <v>0.202143</v>
      </c>
      <c r="F605" t="n">
        <v>0.217363</v>
      </c>
      <c r="G605" t="n">
        <v>0.913147</v>
      </c>
      <c r="H605" t="n">
        <v>0.865113</v>
      </c>
      <c r="I605" t="n">
        <v>0.336618</v>
      </c>
      <c r="J605" t="n">
        <v>0.7762289999999999</v>
      </c>
      <c r="K605" t="n">
        <v>0</v>
      </c>
      <c r="L605" t="n">
        <v>0.3</v>
      </c>
      <c r="M605" t="n">
        <v>0.310286</v>
      </c>
    </row>
    <row r="606">
      <c r="A606" t="inlineStr">
        <is>
          <t>hp-ep40</t>
        </is>
      </c>
      <c r="B606" t="n">
        <v>25</v>
      </c>
      <c r="C606" t="n">
        <v>0.195798</v>
      </c>
      <c r="D606" t="n">
        <v>0.921575</v>
      </c>
      <c r="E606" t="n">
        <v>0.201974</v>
      </c>
      <c r="F606" t="n">
        <v>0.222806</v>
      </c>
      <c r="G606" t="n">
        <v>0.912835</v>
      </c>
      <c r="H606" t="n">
        <v>0.8584039999999999</v>
      </c>
      <c r="I606" t="n">
        <v>0.339093</v>
      </c>
      <c r="J606" t="n">
        <v>0.8176</v>
      </c>
      <c r="K606" t="n">
        <v>0</v>
      </c>
      <c r="L606" t="n">
        <v>0.3</v>
      </c>
      <c r="M606" t="n">
        <v>0.304177</v>
      </c>
    </row>
    <row r="607">
      <c r="A607" t="inlineStr">
        <is>
          <t>hp-ep40</t>
        </is>
      </c>
      <c r="B607" t="n">
        <v>26</v>
      </c>
      <c r="C607" t="n">
        <v>0.199336</v>
      </c>
      <c r="D607" t="n">
        <v>0.920126</v>
      </c>
      <c r="E607" t="n">
        <v>0.198001</v>
      </c>
      <c r="F607" t="n">
        <v>0.226613</v>
      </c>
      <c r="G607" t="n">
        <v>0.9110279999999999</v>
      </c>
      <c r="H607" t="n">
        <v>0.851485</v>
      </c>
      <c r="I607" t="n">
        <v>0.335303</v>
      </c>
      <c r="J607" t="n">
        <v>0.654056</v>
      </c>
      <c r="K607" t="n">
        <v>0</v>
      </c>
      <c r="L607" t="n">
        <v>0.3</v>
      </c>
      <c r="M607" t="n">
        <v>0.308611</v>
      </c>
    </row>
    <row r="608">
      <c r="A608" t="inlineStr">
        <is>
          <t>hp-ep40</t>
        </is>
      </c>
      <c r="B608" t="n">
        <v>27</v>
      </c>
      <c r="C608" t="n">
        <v>0.188415</v>
      </c>
      <c r="D608" t="n">
        <v>0.924485</v>
      </c>
      <c r="E608" t="n">
        <v>0.198017</v>
      </c>
      <c r="F608" t="n">
        <v>0.213555</v>
      </c>
      <c r="G608" t="n">
        <v>0.916439</v>
      </c>
      <c r="H608" t="n">
        <v>0.868447</v>
      </c>
      <c r="I608" t="n">
        <v>0.336085</v>
      </c>
      <c r="J608" t="n">
        <v>0.529914</v>
      </c>
      <c r="K608" t="n">
        <v>0</v>
      </c>
      <c r="L608" t="n">
        <v>0.3</v>
      </c>
      <c r="M608" t="n">
        <v>0.308036</v>
      </c>
    </row>
    <row r="609">
      <c r="A609" t="inlineStr">
        <is>
          <t>hp-ep40</t>
        </is>
      </c>
      <c r="B609" t="n">
        <v>28</v>
      </c>
      <c r="C609" t="n">
        <v>0.195398</v>
      </c>
      <c r="D609" t="n">
        <v>0.923197</v>
      </c>
      <c r="E609" t="n">
        <v>0.194803</v>
      </c>
      <c r="F609" t="n">
        <v>0.223709</v>
      </c>
      <c r="G609" t="n">
        <v>0.913621</v>
      </c>
      <c r="H609" t="n">
        <v>0.8606</v>
      </c>
      <c r="I609" t="n">
        <v>0.333954</v>
      </c>
      <c r="J609" t="n">
        <v>0.59254</v>
      </c>
      <c r="K609" t="n">
        <v>0</v>
      </c>
      <c r="L609" t="n">
        <v>0.3</v>
      </c>
      <c r="M609" t="n">
        <v>0.303948</v>
      </c>
    </row>
    <row r="610">
      <c r="A610" t="inlineStr">
        <is>
          <t>hp-ep40</t>
        </is>
      </c>
      <c r="B610" t="n">
        <v>29</v>
      </c>
      <c r="C610" t="n">
        <v>0.175148</v>
      </c>
      <c r="D610" t="n">
        <v>0.929377</v>
      </c>
      <c r="E610" t="n">
        <v>0.192243</v>
      </c>
      <c r="F610" t="n">
        <v>0.204926</v>
      </c>
      <c r="G610" t="n">
        <v>0.920096</v>
      </c>
      <c r="H610" t="n">
        <v>0.8709750000000001</v>
      </c>
      <c r="I610" t="n">
        <v>0.333427</v>
      </c>
      <c r="J610" t="n">
        <v>0.58866</v>
      </c>
      <c r="K610" t="n">
        <v>0</v>
      </c>
      <c r="L610" t="n">
        <v>0.3</v>
      </c>
      <c r="M610" t="n">
        <v>0.316161</v>
      </c>
    </row>
    <row r="611">
      <c r="A611" t="inlineStr">
        <is>
          <t>hp-ep40</t>
        </is>
      </c>
      <c r="B611" t="n">
        <v>30</v>
      </c>
      <c r="C611" t="n">
        <v>0.181105</v>
      </c>
      <c r="D611" t="n">
        <v>0.927572</v>
      </c>
      <c r="E611" t="n">
        <v>0.190913</v>
      </c>
      <c r="F611" t="n">
        <v>0.210371</v>
      </c>
      <c r="G611" t="n">
        <v>0.918515</v>
      </c>
      <c r="H611" t="n">
        <v>0.866167</v>
      </c>
      <c r="I611" t="n">
        <v>0.333219</v>
      </c>
      <c r="J611" t="n">
        <v>0.689045</v>
      </c>
      <c r="K611" t="n">
        <v>0</v>
      </c>
      <c r="L611" t="n">
        <v>0.3</v>
      </c>
      <c r="M611" t="n">
        <v>0.303994</v>
      </c>
    </row>
    <row r="612">
      <c r="A612" t="inlineStr">
        <is>
          <t>hp-ep40</t>
        </is>
      </c>
      <c r="B612" t="n">
        <v>31</v>
      </c>
      <c r="C612" t="n">
        <v>0.185742</v>
      </c>
      <c r="D612" t="n">
        <v>0.925531</v>
      </c>
      <c r="E612" t="n">
        <v>0.188189</v>
      </c>
      <c r="F612" t="n">
        <v>0.216547</v>
      </c>
      <c r="G612" t="n">
        <v>0.9150509999999999</v>
      </c>
      <c r="H612" t="n">
        <v>0.864089</v>
      </c>
      <c r="I612" t="n">
        <v>0.332059</v>
      </c>
      <c r="J612" t="n">
        <v>0.609971</v>
      </c>
      <c r="K612" t="n">
        <v>0</v>
      </c>
      <c r="L612" t="n">
        <v>0.3</v>
      </c>
      <c r="M612" t="n">
        <v>0.30771</v>
      </c>
    </row>
    <row r="613">
      <c r="A613" t="inlineStr">
        <is>
          <t>hp-ep40</t>
        </is>
      </c>
      <c r="B613" t="n">
        <v>32</v>
      </c>
      <c r="C613" t="n">
        <v>0.188639</v>
      </c>
      <c r="D613" t="n">
        <v>0.924999</v>
      </c>
      <c r="E613" t="n">
        <v>0.188041</v>
      </c>
      <c r="F613" t="n">
        <v>0.220165</v>
      </c>
      <c r="G613" t="n">
        <v>0.914718</v>
      </c>
      <c r="H613" t="n">
        <v>0.863642</v>
      </c>
      <c r="I613" t="n">
        <v>0.331882</v>
      </c>
      <c r="J613" t="n">
        <v>0.650016</v>
      </c>
      <c r="K613" t="n">
        <v>0</v>
      </c>
      <c r="L613" t="n">
        <v>0.3</v>
      </c>
      <c r="M613" t="n">
        <v>0.314775</v>
      </c>
    </row>
    <row r="614">
      <c r="A614" t="inlineStr">
        <is>
          <t>hp-ep40</t>
        </is>
      </c>
      <c r="B614" t="n">
        <v>33</v>
      </c>
      <c r="C614" t="n">
        <v>0.178475</v>
      </c>
      <c r="D614" t="n">
        <v>0.929183</v>
      </c>
      <c r="E614" t="n">
        <v>0.188007</v>
      </c>
      <c r="F614" t="n">
        <v>0.209377</v>
      </c>
      <c r="G614" t="n">
        <v>0.918763</v>
      </c>
      <c r="H614" t="n">
        <v>0.864916</v>
      </c>
      <c r="I614" t="n">
        <v>0.335452</v>
      </c>
      <c r="J614" t="n">
        <v>0.6629969999999999</v>
      </c>
      <c r="K614" t="n">
        <v>0</v>
      </c>
      <c r="L614" t="n">
        <v>0.3</v>
      </c>
      <c r="M614" t="n">
        <v>0.31692</v>
      </c>
    </row>
    <row r="615">
      <c r="A615" t="inlineStr">
        <is>
          <t>hp-ep40</t>
        </is>
      </c>
      <c r="B615" t="n">
        <v>34</v>
      </c>
      <c r="C615" t="n">
        <v>0.177315</v>
      </c>
      <c r="D615" t="n">
        <v>0.928941</v>
      </c>
      <c r="E615" t="n">
        <v>0.184752</v>
      </c>
      <c r="F615" t="n">
        <v>0.207653</v>
      </c>
      <c r="G615" t="n">
        <v>0.920021</v>
      </c>
      <c r="H615" t="n">
        <v>0.871637</v>
      </c>
      <c r="I615" t="n">
        <v>0.334381</v>
      </c>
      <c r="J615" t="n">
        <v>0.51281</v>
      </c>
      <c r="K615" t="n">
        <v>0</v>
      </c>
      <c r="L615" t="n">
        <v>0.3</v>
      </c>
      <c r="M615" t="n">
        <v>0.308983</v>
      </c>
    </row>
    <row r="616">
      <c r="A616" t="inlineStr">
        <is>
          <t>hp-ep40</t>
        </is>
      </c>
      <c r="B616" t="n">
        <v>35</v>
      </c>
      <c r="C616" t="n">
        <v>0.16853</v>
      </c>
      <c r="D616" t="n">
        <v>0.933032</v>
      </c>
      <c r="E616" t="n">
        <v>0.18259</v>
      </c>
      <c r="F616" t="n">
        <v>0.202944</v>
      </c>
      <c r="G616" t="n">
        <v>0.922689</v>
      </c>
      <c r="H616" t="n">
        <v>0.87485</v>
      </c>
      <c r="I616" t="n">
        <v>0.32974</v>
      </c>
      <c r="J616" t="n">
        <v>0.672107</v>
      </c>
      <c r="K616" t="n">
        <v>0</v>
      </c>
      <c r="L616" t="n">
        <v>0.3</v>
      </c>
      <c r="M616" t="n">
        <v>0.307733</v>
      </c>
    </row>
    <row r="617">
      <c r="A617" t="inlineStr">
        <is>
          <t>hp-ep40</t>
        </is>
      </c>
      <c r="B617" t="n">
        <v>36</v>
      </c>
      <c r="C617" t="n">
        <v>0.170351</v>
      </c>
      <c r="D617" t="n">
        <v>0.932693</v>
      </c>
      <c r="E617" t="n">
        <v>0.182759</v>
      </c>
      <c r="F617" t="n">
        <v>0.201912</v>
      </c>
      <c r="G617" t="n">
        <v>0.923678</v>
      </c>
      <c r="H617" t="n">
        <v>0.875653</v>
      </c>
      <c r="I617" t="n">
        <v>0.332905</v>
      </c>
      <c r="J617" t="n">
        <v>0.617414</v>
      </c>
      <c r="K617" t="n">
        <v>0</v>
      </c>
      <c r="L617" t="n">
        <v>0.3</v>
      </c>
      <c r="M617" t="n">
        <v>0.309934</v>
      </c>
    </row>
    <row r="618">
      <c r="A618" t="inlineStr">
        <is>
          <t>hp-ep40</t>
        </is>
      </c>
      <c r="B618" t="n">
        <v>37</v>
      </c>
      <c r="C618" t="n">
        <v>0.187425</v>
      </c>
      <c r="D618" t="n">
        <v>0.9257919999999999</v>
      </c>
      <c r="E618" t="n">
        <v>0.180805</v>
      </c>
      <c r="F618" t="n">
        <v>0.222347</v>
      </c>
      <c r="G618" t="n">
        <v>0.91518</v>
      </c>
      <c r="H618" t="n">
        <v>0.867612</v>
      </c>
      <c r="I618" t="n">
        <v>0.330409</v>
      </c>
      <c r="J618" t="n">
        <v>0.583645</v>
      </c>
      <c r="K618" t="n">
        <v>0</v>
      </c>
      <c r="L618" t="n">
        <v>0.3</v>
      </c>
      <c r="M618" t="n">
        <v>0.305997</v>
      </c>
    </row>
    <row r="619">
      <c r="A619" t="inlineStr">
        <is>
          <t>hp-ep40</t>
        </is>
      </c>
      <c r="B619" t="n">
        <v>38</v>
      </c>
      <c r="C619" t="n">
        <v>0.185886</v>
      </c>
      <c r="D619" t="n">
        <v>0.925574</v>
      </c>
      <c r="E619" t="n">
        <v>0.178454</v>
      </c>
      <c r="F619" t="n">
        <v>0.217517</v>
      </c>
      <c r="G619" t="n">
        <v>0.91518</v>
      </c>
      <c r="H619" t="n">
        <v>0.8596549999999999</v>
      </c>
      <c r="I619" t="n">
        <v>0.3272</v>
      </c>
      <c r="J619" t="n">
        <v>0.51632</v>
      </c>
      <c r="K619" t="n">
        <v>0</v>
      </c>
      <c r="L619" t="n">
        <v>0.3</v>
      </c>
      <c r="M619" t="n">
        <v>0.306916</v>
      </c>
    </row>
    <row r="620">
      <c r="A620" t="inlineStr">
        <is>
          <t>hp-ep40</t>
        </is>
      </c>
      <c r="B620" t="n">
        <v>39</v>
      </c>
      <c r="C620" t="n">
        <v>0.170311</v>
      </c>
      <c r="D620" t="n">
        <v>0.93176</v>
      </c>
      <c r="E620" t="n">
        <v>0.176545</v>
      </c>
      <c r="F620" t="n">
        <v>0.205227</v>
      </c>
      <c r="G620" t="n">
        <v>0.920785</v>
      </c>
      <c r="H620" t="n">
        <v>0.873211</v>
      </c>
      <c r="I620" t="n">
        <v>0.32837</v>
      </c>
      <c r="J620" t="n">
        <v>0.611998</v>
      </c>
      <c r="K620" t="n">
        <v>0</v>
      </c>
      <c r="L620" t="n">
        <v>0.3</v>
      </c>
      <c r="M620" t="n">
        <v>0.30731</v>
      </c>
    </row>
    <row r="621">
      <c r="A621" t="inlineStr">
        <is>
          <t>hp-ep40</t>
        </is>
      </c>
      <c r="B621" t="n">
        <v>40</v>
      </c>
      <c r="C621" t="n">
        <v>0.169193</v>
      </c>
      <c r="D621" t="n">
        <v>0.932636</v>
      </c>
      <c r="E621" t="n">
        <v>0.178022</v>
      </c>
      <c r="F621" t="n">
        <v>0.202173</v>
      </c>
      <c r="G621" t="n">
        <v>0.9220429999999999</v>
      </c>
      <c r="H621" t="n">
        <v>0.878454</v>
      </c>
      <c r="I621" t="n">
        <v>0.333134</v>
      </c>
      <c r="J621" t="n">
        <v>0.522725</v>
      </c>
      <c r="K621" t="n">
        <v>0</v>
      </c>
      <c r="L621" t="n">
        <v>0.3</v>
      </c>
      <c r="M621" t="n">
        <v>0.313228</v>
      </c>
    </row>
    <row r="622">
      <c r="A622" t="inlineStr">
        <is>
          <t>hp-cosine</t>
        </is>
      </c>
      <c r="B622" t="n">
        <v>1</v>
      </c>
      <c r="C622" t="n">
        <v>0.428551</v>
      </c>
      <c r="D622" t="n">
        <v>0.8166909999999999</v>
      </c>
      <c r="E622" t="n">
        <v>0.520272</v>
      </c>
      <c r="F622" t="n">
        <v>0.433933</v>
      </c>
      <c r="G622" t="n">
        <v>0.812698</v>
      </c>
      <c r="H622" t="n">
        <v>0.686599</v>
      </c>
      <c r="I622" t="n">
        <v>0.393876</v>
      </c>
      <c r="J622" t="n">
        <v>2.871076</v>
      </c>
      <c r="K622" t="n">
        <v>0</v>
      </c>
      <c r="L622" t="n">
        <v>0.298153</v>
      </c>
      <c r="M622" t="n">
        <v>0.308697</v>
      </c>
    </row>
    <row r="623">
      <c r="A623" t="inlineStr">
        <is>
          <t>hp-cosine</t>
        </is>
      </c>
      <c r="B623" t="n">
        <v>2</v>
      </c>
      <c r="C623" t="n">
        <v>0.390987</v>
      </c>
      <c r="D623" t="n">
        <v>0.839023</v>
      </c>
      <c r="E623" t="n">
        <v>0.404008</v>
      </c>
      <c r="F623" t="n">
        <v>0.397817</v>
      </c>
      <c r="G623" t="n">
        <v>0.835718</v>
      </c>
      <c r="H623" t="n">
        <v>0.726149</v>
      </c>
      <c r="I623" t="n">
        <v>0.372364</v>
      </c>
      <c r="J623" t="n">
        <v>0.68388</v>
      </c>
      <c r="K623" t="n">
        <v>0</v>
      </c>
      <c r="L623" t="n">
        <v>0.292658</v>
      </c>
      <c r="M623" t="n">
        <v>0.313098</v>
      </c>
    </row>
    <row r="624">
      <c r="A624" t="inlineStr">
        <is>
          <t>hp-cosine</t>
        </is>
      </c>
      <c r="B624" t="n">
        <v>3</v>
      </c>
      <c r="C624" t="n">
        <v>0.349222</v>
      </c>
      <c r="D624" t="n">
        <v>0.856328</v>
      </c>
      <c r="E624" t="n">
        <v>0.359195</v>
      </c>
      <c r="F624" t="n">
        <v>0.358155</v>
      </c>
      <c r="G624" t="n">
        <v>0.852036</v>
      </c>
      <c r="H624" t="n">
        <v>0.737097</v>
      </c>
      <c r="I624" t="n">
        <v>0.373485</v>
      </c>
      <c r="J624" t="n">
        <v>0.595987</v>
      </c>
      <c r="K624" t="n">
        <v>0</v>
      </c>
      <c r="L624" t="n">
        <v>0.283651</v>
      </c>
      <c r="M624" t="n">
        <v>0.313854</v>
      </c>
    </row>
    <row r="625">
      <c r="A625" t="inlineStr">
        <is>
          <t>hp-cosine</t>
        </is>
      </c>
      <c r="B625" t="n">
        <v>4</v>
      </c>
      <c r="C625" t="n">
        <v>0.320084</v>
      </c>
      <c r="D625" t="n">
        <v>0.866112</v>
      </c>
      <c r="E625" t="n">
        <v>0.331451</v>
      </c>
      <c r="F625" t="n">
        <v>0.331004</v>
      </c>
      <c r="G625" t="n">
        <v>0.861309</v>
      </c>
      <c r="H625" t="n">
        <v>0.786076</v>
      </c>
      <c r="I625" t="n">
        <v>0.373982</v>
      </c>
      <c r="J625" t="n">
        <v>0.68946</v>
      </c>
      <c r="K625" t="n">
        <v>0</v>
      </c>
      <c r="L625" t="n">
        <v>0.271353</v>
      </c>
      <c r="M625" t="n">
        <v>0.309352</v>
      </c>
    </row>
    <row r="626">
      <c r="A626" t="inlineStr">
        <is>
          <t>hp-cosine</t>
        </is>
      </c>
      <c r="B626" t="n">
        <v>5</v>
      </c>
      <c r="C626" t="n">
        <v>0.290921</v>
      </c>
      <c r="D626" t="n">
        <v>0.880881</v>
      </c>
      <c r="E626" t="n">
        <v>0.3058</v>
      </c>
      <c r="F626" t="n">
        <v>0.300772</v>
      </c>
      <c r="G626" t="n">
        <v>0.875186</v>
      </c>
      <c r="H626" t="n">
        <v>0.792416</v>
      </c>
      <c r="I626" t="n">
        <v>0.369568</v>
      </c>
      <c r="J626" t="n">
        <v>0.652085</v>
      </c>
      <c r="K626" t="n">
        <v>0</v>
      </c>
      <c r="L626" t="n">
        <v>0.256066</v>
      </c>
      <c r="M626" t="n">
        <v>0.305648</v>
      </c>
    </row>
    <row r="627">
      <c r="A627" t="inlineStr">
        <is>
          <t>hp-cosine</t>
        </is>
      </c>
      <c r="B627" t="n">
        <v>6</v>
      </c>
      <c r="C627" t="n">
        <v>0.286121</v>
      </c>
      <c r="D627" t="n">
        <v>0.883008</v>
      </c>
      <c r="E627" t="n">
        <v>0.288542</v>
      </c>
      <c r="F627" t="n">
        <v>0.300757</v>
      </c>
      <c r="G627" t="n">
        <v>0.876358</v>
      </c>
      <c r="H627" t="n">
        <v>0.8123320000000001</v>
      </c>
      <c r="I627" t="n">
        <v>0.374172</v>
      </c>
      <c r="J627" t="n">
        <v>0.739395</v>
      </c>
      <c r="K627" t="n">
        <v>0</v>
      </c>
      <c r="L627" t="n">
        <v>0.238168</v>
      </c>
      <c r="M627" t="n">
        <v>0.307962</v>
      </c>
    </row>
    <row r="628">
      <c r="A628" t="inlineStr">
        <is>
          <t>hp-cosine</t>
        </is>
      </c>
      <c r="B628" t="n">
        <v>7</v>
      </c>
      <c r="C628" t="n">
        <v>0.268574</v>
      </c>
      <c r="D628" t="n">
        <v>0.889334</v>
      </c>
      <c r="E628" t="n">
        <v>0.270539</v>
      </c>
      <c r="F628" t="n">
        <v>0.284048</v>
      </c>
      <c r="G628" t="n">
        <v>0.88278</v>
      </c>
      <c r="H628" t="n">
        <v>0.805419</v>
      </c>
      <c r="I628" t="n">
        <v>0.371717</v>
      </c>
      <c r="J628" t="n">
        <v>0.6210560000000001</v>
      </c>
      <c r="K628" t="n">
        <v>0</v>
      </c>
      <c r="L628" t="n">
        <v>0.218099</v>
      </c>
      <c r="M628" t="n">
        <v>0.31365</v>
      </c>
    </row>
    <row r="629">
      <c r="A629" t="inlineStr">
        <is>
          <t>hp-cosine</t>
        </is>
      </c>
      <c r="B629" t="n">
        <v>8</v>
      </c>
      <c r="C629" t="n">
        <v>0.237257</v>
      </c>
      <c r="D629" t="n">
        <v>0.902328</v>
      </c>
      <c r="E629" t="n">
        <v>0.255364</v>
      </c>
      <c r="F629" t="n">
        <v>0.252571</v>
      </c>
      <c r="G629" t="n">
        <v>0.896431</v>
      </c>
      <c r="H629" t="n">
        <v>0.831082</v>
      </c>
      <c r="I629" t="n">
        <v>0.369468</v>
      </c>
      <c r="J629" t="n">
        <v>0.599921</v>
      </c>
      <c r="K629" t="n">
        <v>0</v>
      </c>
      <c r="L629" t="n">
        <v>0.196353</v>
      </c>
      <c r="M629" t="n">
        <v>0.308487</v>
      </c>
    </row>
    <row r="630">
      <c r="A630" t="inlineStr">
        <is>
          <t>hp-cosine</t>
        </is>
      </c>
      <c r="B630" t="n">
        <v>9</v>
      </c>
      <c r="C630" t="n">
        <v>0.224014</v>
      </c>
      <c r="D630" t="n">
        <v>0.909046</v>
      </c>
      <c r="E630" t="n">
        <v>0.239238</v>
      </c>
      <c r="F630" t="n">
        <v>0.244192</v>
      </c>
      <c r="G630" t="n">
        <v>0.902057</v>
      </c>
      <c r="H630" t="n">
        <v>0.826525</v>
      </c>
      <c r="I630" t="n">
        <v>0.372813</v>
      </c>
      <c r="J630" t="n">
        <v>0.600733</v>
      </c>
      <c r="K630" t="n">
        <v>0</v>
      </c>
      <c r="L630" t="n">
        <v>0.173465</v>
      </c>
      <c r="M630" t="n">
        <v>0.311326</v>
      </c>
    </row>
    <row r="631">
      <c r="A631" t="inlineStr">
        <is>
          <t>hp-cosine</t>
        </is>
      </c>
      <c r="B631" t="n">
        <v>10</v>
      </c>
      <c r="C631" t="n">
        <v>0.208927</v>
      </c>
      <c r="D631" t="n">
        <v>0.914664</v>
      </c>
      <c r="E631" t="n">
        <v>0.22708</v>
      </c>
      <c r="F631" t="n">
        <v>0.228717</v>
      </c>
      <c r="G631" t="n">
        <v>0.907478</v>
      </c>
      <c r="H631" t="n">
        <v>0.851169</v>
      </c>
      <c r="I631" t="n">
        <v>0.375838</v>
      </c>
      <c r="J631" t="n">
        <v>0.708292</v>
      </c>
      <c r="K631" t="n">
        <v>0</v>
      </c>
      <c r="L631" t="n">
        <v>0.15</v>
      </c>
      <c r="M631" t="n">
        <v>0.318491</v>
      </c>
    </row>
    <row r="632">
      <c r="A632" t="inlineStr">
        <is>
          <t>hp-cosine</t>
        </is>
      </c>
      <c r="B632" t="n">
        <v>11</v>
      </c>
      <c r="C632" t="n">
        <v>0.197284</v>
      </c>
      <c r="D632" t="n">
        <v>0.919838</v>
      </c>
      <c r="E632" t="n">
        <v>0.210665</v>
      </c>
      <c r="F632" t="n">
        <v>0.219209</v>
      </c>
      <c r="G632" t="n">
        <v>0.911103</v>
      </c>
      <c r="H632" t="n">
        <v>0.8566</v>
      </c>
      <c r="I632" t="n">
        <v>0.372203</v>
      </c>
      <c r="J632" t="n">
        <v>0.624054</v>
      </c>
      <c r="K632" t="n">
        <v>0</v>
      </c>
      <c r="L632" t="n">
        <v>0.126535</v>
      </c>
      <c r="M632" t="n">
        <v>0.310757</v>
      </c>
    </row>
    <row r="633">
      <c r="A633" t="inlineStr">
        <is>
          <t>hp-cosine</t>
        </is>
      </c>
      <c r="B633" t="n">
        <v>12</v>
      </c>
      <c r="C633" t="n">
        <v>0.192214</v>
      </c>
      <c r="D633" t="n">
        <v>0.922654</v>
      </c>
      <c r="E633" t="n">
        <v>0.198129</v>
      </c>
      <c r="F633" t="n">
        <v>0.217063</v>
      </c>
      <c r="G633" t="n">
        <v>0.912502</v>
      </c>
      <c r="H633" t="n">
        <v>0.8621220000000001</v>
      </c>
      <c r="I633" t="n">
        <v>0.37451</v>
      </c>
      <c r="J633" t="n">
        <v>0.935338</v>
      </c>
      <c r="K633" t="n">
        <v>0</v>
      </c>
      <c r="L633" t="n">
        <v>0.103647</v>
      </c>
      <c r="M633" t="n">
        <v>0.31129</v>
      </c>
    </row>
    <row r="634">
      <c r="A634" t="inlineStr">
        <is>
          <t>hp-cosine</t>
        </is>
      </c>
      <c r="B634" t="n">
        <v>13</v>
      </c>
      <c r="C634" t="n">
        <v>0.174788</v>
      </c>
      <c r="D634" t="n">
        <v>0.929657</v>
      </c>
      <c r="E634" t="n">
        <v>0.187689</v>
      </c>
      <c r="F634" t="n">
        <v>0.200453</v>
      </c>
      <c r="G634" t="n">
        <v>0.91987</v>
      </c>
      <c r="H634" t="n">
        <v>0.872373</v>
      </c>
      <c r="I634" t="n">
        <v>0.381312</v>
      </c>
      <c r="J634" t="n">
        <v>0.626652</v>
      </c>
      <c r="K634" t="n">
        <v>0</v>
      </c>
      <c r="L634" t="n">
        <v>0.081901</v>
      </c>
      <c r="M634" t="n">
        <v>0.311326</v>
      </c>
    </row>
    <row r="635">
      <c r="A635" t="inlineStr">
        <is>
          <t>hp-cosine</t>
        </is>
      </c>
      <c r="B635" t="n">
        <v>14</v>
      </c>
      <c r="C635" t="n">
        <v>0.16473</v>
      </c>
      <c r="D635" t="n">
        <v>0.934879</v>
      </c>
      <c r="E635" t="n">
        <v>0.174563</v>
      </c>
      <c r="F635" t="n">
        <v>0.192232</v>
      </c>
      <c r="G635" t="n">
        <v>0.923926</v>
      </c>
      <c r="H635" t="n">
        <v>0.873129</v>
      </c>
      <c r="I635" t="n">
        <v>0.375706</v>
      </c>
      <c r="J635" t="n">
        <v>0.646859</v>
      </c>
      <c r="K635" t="n">
        <v>0</v>
      </c>
      <c r="L635" t="n">
        <v>0.061832</v>
      </c>
      <c r="M635" t="n">
        <v>0.319854</v>
      </c>
    </row>
    <row r="636">
      <c r="A636" t="inlineStr">
        <is>
          <t>hp-cosine</t>
        </is>
      </c>
      <c r="B636" t="n">
        <v>15</v>
      </c>
      <c r="C636" t="n">
        <v>0.154003</v>
      </c>
      <c r="D636" t="n">
        <v>0.9393590000000001</v>
      </c>
      <c r="E636" t="n">
        <v>0.164898</v>
      </c>
      <c r="F636" t="n">
        <v>0.181354</v>
      </c>
      <c r="G636" t="n">
        <v>0.9283360000000001</v>
      </c>
      <c r="H636" t="n">
        <v>0.882958</v>
      </c>
      <c r="I636" t="n">
        <v>0.377432</v>
      </c>
      <c r="J636" t="n">
        <v>0.580805</v>
      </c>
      <c r="K636" t="n">
        <v>0</v>
      </c>
      <c r="L636" t="n">
        <v>0.043934</v>
      </c>
      <c r="M636" t="n">
        <v>0.311864</v>
      </c>
    </row>
    <row r="637">
      <c r="A637" t="inlineStr">
        <is>
          <t>hp-cosine</t>
        </is>
      </c>
      <c r="B637" t="n">
        <v>16</v>
      </c>
      <c r="C637" t="n">
        <v>0.148001</v>
      </c>
      <c r="D637" t="n">
        <v>0.941753</v>
      </c>
      <c r="E637" t="n">
        <v>0.156202</v>
      </c>
      <c r="F637" t="n">
        <v>0.176689</v>
      </c>
      <c r="G637" t="n">
        <v>0.93023</v>
      </c>
      <c r="H637" t="n">
        <v>0.885501</v>
      </c>
      <c r="I637" t="n">
        <v>0.375889</v>
      </c>
      <c r="J637" t="n">
        <v>0.681271</v>
      </c>
      <c r="K637" t="n">
        <v>0</v>
      </c>
      <c r="L637" t="n">
        <v>0.028647</v>
      </c>
      <c r="M637" t="n">
        <v>0.312191</v>
      </c>
    </row>
    <row r="638">
      <c r="A638" t="inlineStr">
        <is>
          <t>hp-cosine</t>
        </is>
      </c>
      <c r="B638" t="n">
        <v>17</v>
      </c>
      <c r="C638" t="n">
        <v>0.142451</v>
      </c>
      <c r="D638" t="n">
        <v>0.944816</v>
      </c>
      <c r="E638" t="n">
        <v>0.148733</v>
      </c>
      <c r="F638" t="n">
        <v>0.172672</v>
      </c>
      <c r="G638" t="n">
        <v>0.931456</v>
      </c>
      <c r="H638" t="n">
        <v>0.887474</v>
      </c>
      <c r="I638" t="n">
        <v>0.369547</v>
      </c>
      <c r="J638" t="n">
        <v>0.634505</v>
      </c>
      <c r="K638" t="n">
        <v>0</v>
      </c>
      <c r="L638" t="n">
        <v>0.016349</v>
      </c>
      <c r="M638" t="n">
        <v>0.312113</v>
      </c>
    </row>
    <row r="639">
      <c r="A639" t="inlineStr">
        <is>
          <t>hp-cosine</t>
        </is>
      </c>
      <c r="B639" t="n">
        <v>18</v>
      </c>
      <c r="C639" t="n">
        <v>0.138886</v>
      </c>
      <c r="D639" t="n">
        <v>0.946319</v>
      </c>
      <c r="E639" t="n">
        <v>0.143216</v>
      </c>
      <c r="F639" t="n">
        <v>0.169416</v>
      </c>
      <c r="G639" t="n">
        <v>0.9331660000000001</v>
      </c>
      <c r="H639" t="n">
        <v>0.888172</v>
      </c>
      <c r="I639" t="n">
        <v>0.362141</v>
      </c>
      <c r="J639" t="n">
        <v>0.541255</v>
      </c>
      <c r="K639" t="n">
        <v>0</v>
      </c>
      <c r="L639" t="n">
        <v>0.007342</v>
      </c>
      <c r="M639" t="n">
        <v>0.316898</v>
      </c>
    </row>
    <row r="640">
      <c r="A640" t="inlineStr">
        <is>
          <t>hp-cosine</t>
        </is>
      </c>
      <c r="B640" t="n">
        <v>19</v>
      </c>
      <c r="C640" t="n">
        <v>0.137355</v>
      </c>
      <c r="D640" t="n">
        <v>0.946932</v>
      </c>
      <c r="E640" t="n">
        <v>0.139679</v>
      </c>
      <c r="F640" t="n">
        <v>0.168398</v>
      </c>
      <c r="G640" t="n">
        <v>0.933736</v>
      </c>
      <c r="H640" t="n">
        <v>0.88873</v>
      </c>
      <c r="I640" t="n">
        <v>0.358866</v>
      </c>
      <c r="J640" t="n">
        <v>0.699201</v>
      </c>
      <c r="K640" t="n">
        <v>0</v>
      </c>
      <c r="L640" t="n">
        <v>0.001847</v>
      </c>
      <c r="M640" t="n">
        <v>0.311707</v>
      </c>
    </row>
    <row r="641">
      <c r="A641" t="inlineStr">
        <is>
          <t>hp-cosine</t>
        </is>
      </c>
      <c r="B641" t="n">
        <v>20</v>
      </c>
      <c r="C641" t="n">
        <v>0.137145</v>
      </c>
      <c r="D641" t="n">
        <v>0.94722</v>
      </c>
      <c r="E641" t="n">
        <v>0.137615</v>
      </c>
      <c r="F641" t="n">
        <v>0.168113</v>
      </c>
      <c r="G641" t="n">
        <v>0.933962</v>
      </c>
      <c r="H641" t="n">
        <v>0.888532</v>
      </c>
      <c r="I641" t="n">
        <v>0.354045</v>
      </c>
      <c r="J641" t="n">
        <v>0.609392</v>
      </c>
      <c r="K641" t="n">
        <v>0</v>
      </c>
      <c r="L641" t="n">
        <v>0</v>
      </c>
      <c r="M641" t="n">
        <v>0.311249</v>
      </c>
    </row>
    <row r="642">
      <c r="A642" t="inlineStr">
        <is>
          <t>hp-wd5e-4</t>
        </is>
      </c>
      <c r="B642" t="n">
        <v>1</v>
      </c>
      <c r="C642" t="n">
        <v>0.470559</v>
      </c>
      <c r="D642" t="n">
        <v>0.79754</v>
      </c>
      <c r="E642" t="n">
        <v>0.542144</v>
      </c>
      <c r="F642" t="n">
        <v>0.474126</v>
      </c>
      <c r="G642" t="n">
        <v>0.794303</v>
      </c>
      <c r="H642" t="n">
        <v>0.604191</v>
      </c>
      <c r="I642" t="n">
        <v>0.404961</v>
      </c>
      <c r="J642" t="n">
        <v>2.871076</v>
      </c>
      <c r="K642" t="n">
        <v>0</v>
      </c>
      <c r="L642" t="n">
        <v>0.3</v>
      </c>
      <c r="M642" t="n">
        <v>0.310959</v>
      </c>
    </row>
    <row r="643">
      <c r="A643" t="inlineStr">
        <is>
          <t>hp-wd5e-4</t>
        </is>
      </c>
      <c r="B643" t="n">
        <v>2</v>
      </c>
      <c r="C643" t="n">
        <v>0.454285</v>
      </c>
      <c r="D643" t="n">
        <v>0.808548</v>
      </c>
      <c r="E643" t="n">
        <v>0.46506</v>
      </c>
      <c r="F643" t="n">
        <v>0.458988</v>
      </c>
      <c r="G643" t="n">
        <v>0.805383</v>
      </c>
      <c r="H643" t="n">
        <v>0.6522210000000001</v>
      </c>
      <c r="I643" t="n">
        <v>0.400899</v>
      </c>
      <c r="J643" t="n">
        <v>0.810724</v>
      </c>
      <c r="K643" t="n">
        <v>0</v>
      </c>
      <c r="L643" t="n">
        <v>0.3</v>
      </c>
      <c r="M643" t="n">
        <v>0.316055</v>
      </c>
    </row>
    <row r="644">
      <c r="A644" t="inlineStr">
        <is>
          <t>hp-wd5e-4</t>
        </is>
      </c>
      <c r="B644" t="n">
        <v>3</v>
      </c>
      <c r="C644" t="n">
        <v>0.446156</v>
      </c>
      <c r="D644" t="n">
        <v>0.816476</v>
      </c>
      <c r="E644" t="n">
        <v>0.441427</v>
      </c>
      <c r="F644" t="n">
        <v>0.451687</v>
      </c>
      <c r="G644" t="n">
        <v>0.813472</v>
      </c>
      <c r="H644" t="n">
        <v>0.617395</v>
      </c>
      <c r="I644" t="n">
        <v>0.399931</v>
      </c>
      <c r="J644" t="n">
        <v>0.684779</v>
      </c>
      <c r="K644" t="n">
        <v>0</v>
      </c>
      <c r="L644" t="n">
        <v>0.3</v>
      </c>
      <c r="M644" t="n">
        <v>0.316598</v>
      </c>
    </row>
    <row r="645">
      <c r="A645" t="inlineStr">
        <is>
          <t>hp-wd5e-4</t>
        </is>
      </c>
      <c r="B645" t="n">
        <v>4</v>
      </c>
      <c r="C645" t="n">
        <v>0.439983</v>
      </c>
      <c r="D645" t="n">
        <v>0.810723</v>
      </c>
      <c r="E645" t="n">
        <v>0.431574</v>
      </c>
      <c r="F645" t="n">
        <v>0.445058</v>
      </c>
      <c r="G645" t="n">
        <v>0.808244</v>
      </c>
      <c r="H645" t="n">
        <v>0.67287</v>
      </c>
      <c r="I645" t="n">
        <v>0.406823</v>
      </c>
      <c r="J645" t="n">
        <v>0.793011</v>
      </c>
      <c r="K645" t="n">
        <v>0</v>
      </c>
      <c r="L645" t="n">
        <v>0.3</v>
      </c>
      <c r="M645" t="n">
        <v>0.318396</v>
      </c>
    </row>
    <row r="646">
      <c r="A646" t="inlineStr">
        <is>
          <t>hp-wd5e-4</t>
        </is>
      </c>
      <c r="B646" t="n">
        <v>5</v>
      </c>
      <c r="C646" t="n">
        <v>0.447059</v>
      </c>
      <c r="D646" t="n">
        <v>0.8089730000000001</v>
      </c>
      <c r="E646" t="n">
        <v>0.423323</v>
      </c>
      <c r="F646" t="n">
        <v>0.452421</v>
      </c>
      <c r="G646" t="n">
        <v>0.806986</v>
      </c>
      <c r="H646" t="n">
        <v>0.645776</v>
      </c>
      <c r="I646" t="n">
        <v>0.404124</v>
      </c>
      <c r="J646" t="n">
        <v>0.767489</v>
      </c>
      <c r="K646" t="n">
        <v>0</v>
      </c>
      <c r="L646" t="n">
        <v>0.3</v>
      </c>
      <c r="M646" t="n">
        <v>0.315375</v>
      </c>
    </row>
    <row r="647">
      <c r="A647" t="inlineStr">
        <is>
          <t>hp-wd5e-4</t>
        </is>
      </c>
      <c r="B647" t="n">
        <v>6</v>
      </c>
      <c r="C647" t="n">
        <v>0.415471</v>
      </c>
      <c r="D647" t="n">
        <v>0.824742</v>
      </c>
      <c r="E647" t="n">
        <v>0.419363</v>
      </c>
      <c r="F647" t="n">
        <v>0.418999</v>
      </c>
      <c r="G647" t="n">
        <v>0.823777</v>
      </c>
      <c r="H647" t="n">
        <v>0.6519509999999999</v>
      </c>
      <c r="I647" t="n">
        <v>0.406842</v>
      </c>
      <c r="J647" t="n">
        <v>0.756691</v>
      </c>
      <c r="K647" t="n">
        <v>0</v>
      </c>
      <c r="L647" t="n">
        <v>0.3</v>
      </c>
      <c r="M647" t="n">
        <v>0.31543</v>
      </c>
    </row>
    <row r="648">
      <c r="A648" t="inlineStr">
        <is>
          <t>hp-wd5e-4</t>
        </is>
      </c>
      <c r="B648" t="n">
        <v>7</v>
      </c>
      <c r="C648" t="n">
        <v>0.450188</v>
      </c>
      <c r="D648" t="n">
        <v>0.803454</v>
      </c>
      <c r="E648" t="n">
        <v>0.414119</v>
      </c>
      <c r="F648" t="n">
        <v>0.456278</v>
      </c>
      <c r="G648" t="n">
        <v>0.8002089999999999</v>
      </c>
      <c r="H648" t="n">
        <v>0.686975</v>
      </c>
      <c r="I648" t="n">
        <v>0.405914</v>
      </c>
      <c r="J648" t="n">
        <v>0.786362</v>
      </c>
      <c r="K648" t="n">
        <v>0</v>
      </c>
      <c r="L648" t="n">
        <v>0.3</v>
      </c>
      <c r="M648" t="n">
        <v>0.324556</v>
      </c>
    </row>
    <row r="649">
      <c r="A649" t="inlineStr">
        <is>
          <t>hp-wd5e-4</t>
        </is>
      </c>
      <c r="B649" t="n">
        <v>8</v>
      </c>
      <c r="C649" t="n">
        <v>0.396687</v>
      </c>
      <c r="D649" t="n">
        <v>0.834228</v>
      </c>
      <c r="E649" t="n">
        <v>0.413122</v>
      </c>
      <c r="F649" t="n">
        <v>0.401858</v>
      </c>
      <c r="G649" t="n">
        <v>0.830361</v>
      </c>
      <c r="H649" t="n">
        <v>0.703819</v>
      </c>
      <c r="I649" t="n">
        <v>0.407314</v>
      </c>
      <c r="J649" t="n">
        <v>0.823668</v>
      </c>
      <c r="K649" t="n">
        <v>0</v>
      </c>
      <c r="L649" t="n">
        <v>0.3</v>
      </c>
      <c r="M649" t="n">
        <v>0.327133</v>
      </c>
    </row>
    <row r="650">
      <c r="A650" t="inlineStr">
        <is>
          <t>hp-wd5e-4</t>
        </is>
      </c>
      <c r="B650" t="n">
        <v>9</v>
      </c>
      <c r="C650" t="n">
        <v>0.413394</v>
      </c>
      <c r="D650" t="n">
        <v>0.826087</v>
      </c>
      <c r="E650" t="n">
        <v>0.408582</v>
      </c>
      <c r="F650" t="n">
        <v>0.420004</v>
      </c>
      <c r="G650" t="n">
        <v>0.82324</v>
      </c>
      <c r="H650" t="n">
        <v>0.683666</v>
      </c>
      <c r="I650" t="n">
        <v>0.404748</v>
      </c>
      <c r="J650" t="n">
        <v>0.747835</v>
      </c>
      <c r="K650" t="n">
        <v>0</v>
      </c>
      <c r="L650" t="n">
        <v>0.3</v>
      </c>
      <c r="M650" t="n">
        <v>0.318227</v>
      </c>
    </row>
    <row r="651">
      <c r="A651" t="inlineStr">
        <is>
          <t>hp-wd5e-4</t>
        </is>
      </c>
      <c r="B651" t="n">
        <v>10</v>
      </c>
      <c r="C651" t="n">
        <v>0.417986</v>
      </c>
      <c r="D651" t="n">
        <v>0.823954</v>
      </c>
      <c r="E651" t="n">
        <v>0.408387</v>
      </c>
      <c r="F651" t="n">
        <v>0.425184</v>
      </c>
      <c r="G651" t="n">
        <v>0.819593</v>
      </c>
      <c r="H651" t="n">
        <v>0.692604</v>
      </c>
      <c r="I651" t="n">
        <v>0.407411</v>
      </c>
      <c r="J651" t="n">
        <v>0.852074</v>
      </c>
      <c r="K651" t="n">
        <v>0</v>
      </c>
      <c r="L651" t="n">
        <v>0.3</v>
      </c>
      <c r="M651" t="n">
        <v>0.31955</v>
      </c>
    </row>
    <row r="652">
      <c r="A652" t="inlineStr">
        <is>
          <t>hp-wd5e-4</t>
        </is>
      </c>
      <c r="B652" t="n">
        <v>11</v>
      </c>
      <c r="C652" t="n">
        <v>0.398864</v>
      </c>
      <c r="D652" t="n">
        <v>0.834152</v>
      </c>
      <c r="E652" t="n">
        <v>0.404319</v>
      </c>
      <c r="F652" t="n">
        <v>0.40533</v>
      </c>
      <c r="G652" t="n">
        <v>0.831221</v>
      </c>
      <c r="H652" t="n">
        <v>0.693203</v>
      </c>
      <c r="I652" t="n">
        <v>0.405968</v>
      </c>
      <c r="J652" t="n">
        <v>0.739313</v>
      </c>
      <c r="K652" t="n">
        <v>0</v>
      </c>
      <c r="L652" t="n">
        <v>0.3</v>
      </c>
      <c r="M652" t="n">
        <v>0.324944</v>
      </c>
    </row>
    <row r="653">
      <c r="A653" t="inlineStr">
        <is>
          <t>hp-wd5e-4</t>
        </is>
      </c>
      <c r="B653" t="n">
        <v>12</v>
      </c>
      <c r="C653" t="n">
        <v>0.430504</v>
      </c>
      <c r="D653" t="n">
        <v>0.817167</v>
      </c>
      <c r="E653" t="n">
        <v>0.403921</v>
      </c>
      <c r="F653" t="n">
        <v>0.437181</v>
      </c>
      <c r="G653" t="n">
        <v>0.81387</v>
      </c>
      <c r="H653" t="n">
        <v>0.646655</v>
      </c>
      <c r="I653" t="n">
        <v>0.408412</v>
      </c>
      <c r="J653" t="n">
        <v>0.853535</v>
      </c>
      <c r="K653" t="n">
        <v>0</v>
      </c>
      <c r="L653" t="n">
        <v>0.3</v>
      </c>
      <c r="M653" t="n">
        <v>0.320162</v>
      </c>
    </row>
    <row r="654">
      <c r="A654" t="inlineStr">
        <is>
          <t>hp-wd5e-4</t>
        </is>
      </c>
      <c r="B654" t="n">
        <v>13</v>
      </c>
      <c r="C654" t="n">
        <v>0.40279</v>
      </c>
      <c r="D654" t="n">
        <v>0.829701</v>
      </c>
      <c r="E654" t="n">
        <v>0.404313</v>
      </c>
      <c r="F654" t="n">
        <v>0.408722</v>
      </c>
      <c r="G654" t="n">
        <v>0.825875</v>
      </c>
      <c r="H654" t="n">
        <v>0.685171</v>
      </c>
      <c r="I654" t="n">
        <v>0.40941</v>
      </c>
      <c r="J654" t="n">
        <v>0.787394</v>
      </c>
      <c r="K654" t="n">
        <v>0</v>
      </c>
      <c r="L654" t="n">
        <v>0.3</v>
      </c>
      <c r="M654" t="n">
        <v>0.315271</v>
      </c>
    </row>
    <row r="655">
      <c r="A655" t="inlineStr">
        <is>
          <t>hp-wd5e-4</t>
        </is>
      </c>
      <c r="B655" t="n">
        <v>14</v>
      </c>
      <c r="C655" t="n">
        <v>0.402525</v>
      </c>
      <c r="D655" t="n">
        <v>0.832939</v>
      </c>
      <c r="E655" t="n">
        <v>0.403167</v>
      </c>
      <c r="F655" t="n">
        <v>0.408666</v>
      </c>
      <c r="G655" t="n">
        <v>0.829715</v>
      </c>
      <c r="H655" t="n">
        <v>0.700389</v>
      </c>
      <c r="I655" t="n">
        <v>0.410364</v>
      </c>
      <c r="J655" t="n">
        <v>0.935049</v>
      </c>
      <c r="K655" t="n">
        <v>0</v>
      </c>
      <c r="L655" t="n">
        <v>0.3</v>
      </c>
      <c r="M655" t="n">
        <v>0.318545</v>
      </c>
    </row>
    <row r="656">
      <c r="A656" t="inlineStr">
        <is>
          <t>hp-wd5e-4</t>
        </is>
      </c>
      <c r="B656" t="n">
        <v>15</v>
      </c>
      <c r="C656" t="n">
        <v>0.385134</v>
      </c>
      <c r="D656" t="n">
        <v>0.841069</v>
      </c>
      <c r="E656" t="n">
        <v>0.400251</v>
      </c>
      <c r="F656" t="n">
        <v>0.389368</v>
      </c>
      <c r="G656" t="n">
        <v>0.838235</v>
      </c>
      <c r="H656" t="n">
        <v>0.707586</v>
      </c>
      <c r="I656" t="n">
        <v>0.395564</v>
      </c>
      <c r="J656" t="n">
        <v>0.742608</v>
      </c>
      <c r="K656" t="n">
        <v>0</v>
      </c>
      <c r="L656" t="n">
        <v>0.3</v>
      </c>
      <c r="M656" t="n">
        <v>0.325857</v>
      </c>
    </row>
    <row r="657">
      <c r="A657" t="inlineStr">
        <is>
          <t>hp-wd5e-4</t>
        </is>
      </c>
      <c r="B657" t="n">
        <v>16</v>
      </c>
      <c r="C657" t="n">
        <v>0.396607</v>
      </c>
      <c r="D657" t="n">
        <v>0.831659</v>
      </c>
      <c r="E657" t="n">
        <v>0.400021</v>
      </c>
      <c r="F657" t="n">
        <v>0.402213</v>
      </c>
      <c r="G657" t="n">
        <v>0.829672</v>
      </c>
      <c r="H657" t="n">
        <v>0.694184</v>
      </c>
      <c r="I657" t="n">
        <v>0.405396</v>
      </c>
      <c r="J657" t="n">
        <v>0.770383</v>
      </c>
      <c r="K657" t="n">
        <v>0</v>
      </c>
      <c r="L657" t="n">
        <v>0.3</v>
      </c>
      <c r="M657" t="n">
        <v>0.320633</v>
      </c>
    </row>
    <row r="658">
      <c r="A658" t="inlineStr">
        <is>
          <t>hp-wd5e-4</t>
        </is>
      </c>
      <c r="B658" t="n">
        <v>17</v>
      </c>
      <c r="C658" t="n">
        <v>0.397444</v>
      </c>
      <c r="D658" t="n">
        <v>0.834908</v>
      </c>
      <c r="E658" t="n">
        <v>0.397602</v>
      </c>
      <c r="F658" t="n">
        <v>0.402374</v>
      </c>
      <c r="G658" t="n">
        <v>0.832663</v>
      </c>
      <c r="H658" t="n">
        <v>0.713417</v>
      </c>
      <c r="I658" t="n">
        <v>0.406884</v>
      </c>
      <c r="J658" t="n">
        <v>0.721008</v>
      </c>
      <c r="K658" t="n">
        <v>0</v>
      </c>
      <c r="L658" t="n">
        <v>0.3</v>
      </c>
      <c r="M658" t="n">
        <v>0.31608</v>
      </c>
    </row>
    <row r="659">
      <c r="A659" t="inlineStr">
        <is>
          <t>hp-wd5e-4</t>
        </is>
      </c>
      <c r="B659" t="n">
        <v>18</v>
      </c>
      <c r="C659" t="n">
        <v>0.399579</v>
      </c>
      <c r="D659" t="n">
        <v>0.830497</v>
      </c>
      <c r="E659" t="n">
        <v>0.39947</v>
      </c>
      <c r="F659" t="n">
        <v>0.40516</v>
      </c>
      <c r="G659" t="n">
        <v>0.82808</v>
      </c>
      <c r="H659" t="n">
        <v>0.685078</v>
      </c>
      <c r="I659" t="n">
        <v>0.410473</v>
      </c>
      <c r="J659" t="n">
        <v>0.7715379999999999</v>
      </c>
      <c r="K659" t="n">
        <v>0</v>
      </c>
      <c r="L659" t="n">
        <v>0.3</v>
      </c>
      <c r="M659" t="n">
        <v>0.314708</v>
      </c>
    </row>
    <row r="660">
      <c r="A660" t="inlineStr">
        <is>
          <t>hp-wd5e-4</t>
        </is>
      </c>
      <c r="B660" t="n">
        <v>19</v>
      </c>
      <c r="C660" t="n">
        <v>0.402849</v>
      </c>
      <c r="D660" t="n">
        <v>0.836597</v>
      </c>
      <c r="E660" t="n">
        <v>0.398072</v>
      </c>
      <c r="F660" t="n">
        <v>0.408092</v>
      </c>
      <c r="G660" t="n">
        <v>0.833911</v>
      </c>
      <c r="H660" t="n">
        <v>0.724576</v>
      </c>
      <c r="I660" t="n">
        <v>0.40038</v>
      </c>
      <c r="J660" t="n">
        <v>0.722455</v>
      </c>
      <c r="K660" t="n">
        <v>0</v>
      </c>
      <c r="L660" t="n">
        <v>0.3</v>
      </c>
      <c r="M660" t="n">
        <v>0.317609</v>
      </c>
    </row>
    <row r="661">
      <c r="A661" t="inlineStr">
        <is>
          <t>hp-wd5e-4</t>
        </is>
      </c>
      <c r="B661" t="n">
        <v>20</v>
      </c>
      <c r="C661" t="n">
        <v>0.395694</v>
      </c>
      <c r="D661" t="n">
        <v>0.836465</v>
      </c>
      <c r="E661" t="n">
        <v>0.395909</v>
      </c>
      <c r="F661" t="n">
        <v>0.403017</v>
      </c>
      <c r="G661" t="n">
        <v>0.831856</v>
      </c>
      <c r="H661" t="n">
        <v>0.68509</v>
      </c>
      <c r="I661" t="n">
        <v>0.398314</v>
      </c>
      <c r="J661" t="n">
        <v>0.692557</v>
      </c>
      <c r="K661" t="n">
        <v>0</v>
      </c>
      <c r="L661" t="n">
        <v>0.3</v>
      </c>
      <c r="M661" t="n">
        <v>0.316599</v>
      </c>
    </row>
    <row r="662">
      <c r="A662" t="inlineStr">
        <is>
          <t>drop-0.1</t>
        </is>
      </c>
      <c r="B662" t="n">
        <v>1</v>
      </c>
      <c r="C662" t="n">
        <v>0.449655</v>
      </c>
      <c r="D662" t="n">
        <v>0.806843</v>
      </c>
      <c r="E662" t="n">
        <v>0.558403</v>
      </c>
      <c r="F662" t="n">
        <v>0.453762</v>
      </c>
      <c r="G662" t="n">
        <v>0.8052319999999999</v>
      </c>
      <c r="H662" t="n">
        <v>0.6527579999999999</v>
      </c>
      <c r="I662" t="n">
        <v>0.332818</v>
      </c>
      <c r="J662" t="n">
        <v>2.943201</v>
      </c>
      <c r="K662" t="n">
        <v>0</v>
      </c>
      <c r="L662" t="n">
        <v>0.3</v>
      </c>
      <c r="M662" t="n">
        <v>0.323066</v>
      </c>
    </row>
    <row r="663">
      <c r="A663" t="inlineStr">
        <is>
          <t>drop-0.1</t>
        </is>
      </c>
      <c r="B663" t="n">
        <v>2</v>
      </c>
      <c r="C663" t="n">
        <v>0.401209</v>
      </c>
      <c r="D663" t="n">
        <v>0.828236</v>
      </c>
      <c r="E663" t="n">
        <v>0.457276</v>
      </c>
      <c r="F663" t="n">
        <v>0.406461</v>
      </c>
      <c r="G663" t="n">
        <v>0.825542</v>
      </c>
      <c r="H663" t="n">
        <v>0.701139</v>
      </c>
      <c r="I663" t="n">
        <v>0.306877</v>
      </c>
      <c r="J663" t="n">
        <v>0.538649</v>
      </c>
      <c r="K663" t="n">
        <v>0</v>
      </c>
      <c r="L663" t="n">
        <v>0.3</v>
      </c>
      <c r="M663" t="n">
        <v>0.32661</v>
      </c>
    </row>
    <row r="664">
      <c r="A664" t="inlineStr">
        <is>
          <t>drop-0.1</t>
        </is>
      </c>
      <c r="B664" t="n">
        <v>3</v>
      </c>
      <c r="C664" t="n">
        <v>0.374905</v>
      </c>
      <c r="D664" t="n">
        <v>0.842634</v>
      </c>
      <c r="E664" t="n">
        <v>0.419154</v>
      </c>
      <c r="F664" t="n">
        <v>0.38168</v>
      </c>
      <c r="G664" t="n">
        <v>0.840376</v>
      </c>
      <c r="H664" t="n">
        <v>0.7104</v>
      </c>
      <c r="I664" t="n">
        <v>0.300997</v>
      </c>
      <c r="J664" t="n">
        <v>0.497953</v>
      </c>
      <c r="K664" t="n">
        <v>0</v>
      </c>
      <c r="L664" t="n">
        <v>0.3</v>
      </c>
      <c r="M664" t="n">
        <v>0.323558</v>
      </c>
    </row>
    <row r="665">
      <c r="A665" t="inlineStr">
        <is>
          <t>drop-0.1</t>
        </is>
      </c>
      <c r="B665" t="n">
        <v>4</v>
      </c>
      <c r="C665" t="n">
        <v>0.350354</v>
      </c>
      <c r="D665" t="n">
        <v>0.852988</v>
      </c>
      <c r="E665" t="n">
        <v>0.394101</v>
      </c>
      <c r="F665" t="n">
        <v>0.357783</v>
      </c>
      <c r="G665" t="n">
        <v>0.849422</v>
      </c>
      <c r="H665" t="n">
        <v>0.750077</v>
      </c>
      <c r="I665" t="n">
        <v>0.299042</v>
      </c>
      <c r="J665" t="n">
        <v>0.47546</v>
      </c>
      <c r="K665" t="n">
        <v>0</v>
      </c>
      <c r="L665" t="n">
        <v>0.3</v>
      </c>
      <c r="M665" t="n">
        <v>0.329079</v>
      </c>
    </row>
    <row r="666">
      <c r="A666" t="inlineStr">
        <is>
          <t>drop-0.1</t>
        </is>
      </c>
      <c r="B666" t="n">
        <v>5</v>
      </c>
      <c r="C666" t="n">
        <v>0.320988</v>
      </c>
      <c r="D666" t="n">
        <v>0.867384</v>
      </c>
      <c r="E666" t="n">
        <v>0.3781</v>
      </c>
      <c r="F666" t="n">
        <v>0.328779</v>
      </c>
      <c r="G666" t="n">
        <v>0.863159</v>
      </c>
      <c r="H666" t="n">
        <v>0.752763</v>
      </c>
      <c r="I666" t="n">
        <v>0.297875</v>
      </c>
      <c r="J666" t="n">
        <v>0.641606</v>
      </c>
      <c r="K666" t="n">
        <v>0</v>
      </c>
      <c r="L666" t="n">
        <v>0.3</v>
      </c>
      <c r="M666" t="n">
        <v>0.326577</v>
      </c>
    </row>
    <row r="667">
      <c r="A667" t="inlineStr">
        <is>
          <t>drop-0.1</t>
        </is>
      </c>
      <c r="B667" t="n">
        <v>6</v>
      </c>
      <c r="C667" t="n">
        <v>0.313298</v>
      </c>
      <c r="D667" t="n">
        <v>0.870893</v>
      </c>
      <c r="E667" t="n">
        <v>0.363085</v>
      </c>
      <c r="F667" t="n">
        <v>0.322879</v>
      </c>
      <c r="G667" t="n">
        <v>0.866494</v>
      </c>
      <c r="H667" t="n">
        <v>0.785994</v>
      </c>
      <c r="I667" t="n">
        <v>0.294251</v>
      </c>
      <c r="J667" t="n">
        <v>0.652029</v>
      </c>
      <c r="K667" t="n">
        <v>0</v>
      </c>
      <c r="L667" t="n">
        <v>0.3</v>
      </c>
      <c r="M667" t="n">
        <v>0.323347</v>
      </c>
    </row>
    <row r="668">
      <c r="A668" t="inlineStr">
        <is>
          <t>drop-0.1</t>
        </is>
      </c>
      <c r="B668" t="n">
        <v>7</v>
      </c>
      <c r="C668" t="n">
        <v>0.299353</v>
      </c>
      <c r="D668" t="n">
        <v>0.877294</v>
      </c>
      <c r="E668" t="n">
        <v>0.350057</v>
      </c>
      <c r="F668" t="n">
        <v>0.30794</v>
      </c>
      <c r="G668" t="n">
        <v>0.872873</v>
      </c>
      <c r="H668" t="n">
        <v>0.787784</v>
      </c>
      <c r="I668" t="n">
        <v>0.293179</v>
      </c>
      <c r="J668" t="n">
        <v>0.5793739999999999</v>
      </c>
      <c r="K668" t="n">
        <v>0</v>
      </c>
      <c r="L668" t="n">
        <v>0.3</v>
      </c>
      <c r="M668" t="n">
        <v>0.320629</v>
      </c>
    </row>
    <row r="669">
      <c r="A669" t="inlineStr">
        <is>
          <t>drop-0.1</t>
        </is>
      </c>
      <c r="B669" t="n">
        <v>8</v>
      </c>
      <c r="C669" t="n">
        <v>0.286859</v>
      </c>
      <c r="D669" t="n">
        <v>0.882054</v>
      </c>
      <c r="E669" t="n">
        <v>0.343027</v>
      </c>
      <c r="F669" t="n">
        <v>0.2954</v>
      </c>
      <c r="G669" t="n">
        <v>0.876831</v>
      </c>
      <c r="H669" t="n">
        <v>0.789269</v>
      </c>
      <c r="I669" t="n">
        <v>0.29115</v>
      </c>
      <c r="J669" t="n">
        <v>0.540044</v>
      </c>
      <c r="K669" t="n">
        <v>0</v>
      </c>
      <c r="L669" t="n">
        <v>0.3</v>
      </c>
      <c r="M669" t="n">
        <v>0.325065</v>
      </c>
    </row>
    <row r="670">
      <c r="A670" t="inlineStr">
        <is>
          <t>drop-0.1</t>
        </is>
      </c>
      <c r="B670" t="n">
        <v>9</v>
      </c>
      <c r="C670" t="n">
        <v>0.281822</v>
      </c>
      <c r="D670" t="n">
        <v>0.883433</v>
      </c>
      <c r="E670" t="n">
        <v>0.335491</v>
      </c>
      <c r="F670" t="n">
        <v>0.292776</v>
      </c>
      <c r="G670" t="n">
        <v>0.878294</v>
      </c>
      <c r="H670" t="n">
        <v>0.789519</v>
      </c>
      <c r="I670" t="n">
        <v>0.292471</v>
      </c>
      <c r="J670" t="n">
        <v>0.5678029999999999</v>
      </c>
      <c r="K670" t="n">
        <v>0</v>
      </c>
      <c r="L670" t="n">
        <v>0.3</v>
      </c>
      <c r="M670" t="n">
        <v>0.323249</v>
      </c>
    </row>
    <row r="671">
      <c r="A671" t="inlineStr">
        <is>
          <t>drop-0.1</t>
        </is>
      </c>
      <c r="B671" t="n">
        <v>10</v>
      </c>
      <c r="C671" t="n">
        <v>0.274411</v>
      </c>
      <c r="D671" t="n">
        <v>0.886117</v>
      </c>
      <c r="E671" t="n">
        <v>0.328822</v>
      </c>
      <c r="F671" t="n">
        <v>0.282537</v>
      </c>
      <c r="G671" t="n">
        <v>0.881984</v>
      </c>
      <c r="H671" t="n">
        <v>0.803749</v>
      </c>
      <c r="I671" t="n">
        <v>0.288688</v>
      </c>
      <c r="J671" t="n">
        <v>0.572726</v>
      </c>
      <c r="K671" t="n">
        <v>0</v>
      </c>
      <c r="L671" t="n">
        <v>0.3</v>
      </c>
      <c r="M671" t="n">
        <v>0.323435</v>
      </c>
    </row>
    <row r="672">
      <c r="A672" t="inlineStr">
        <is>
          <t>drop-0.1</t>
        </is>
      </c>
      <c r="B672" t="n">
        <v>11</v>
      </c>
      <c r="C672" t="n">
        <v>0.269661</v>
      </c>
      <c r="D672" t="n">
        <v>0.888226</v>
      </c>
      <c r="E672" t="n">
        <v>0.320605</v>
      </c>
      <c r="F672" t="n">
        <v>0.280352</v>
      </c>
      <c r="G672" t="n">
        <v>0.883049</v>
      </c>
      <c r="H672" t="n">
        <v>0.8036180000000001</v>
      </c>
      <c r="I672" t="n">
        <v>0.286994</v>
      </c>
      <c r="J672" t="n">
        <v>0.50918</v>
      </c>
      <c r="K672" t="n">
        <v>0</v>
      </c>
      <c r="L672" t="n">
        <v>0.3</v>
      </c>
      <c r="M672" t="n">
        <v>0.320827</v>
      </c>
    </row>
    <row r="673">
      <c r="A673" t="inlineStr">
        <is>
          <t>drop-0.1</t>
        </is>
      </c>
      <c r="B673" t="n">
        <v>12</v>
      </c>
      <c r="C673" t="n">
        <v>0.265478</v>
      </c>
      <c r="D673" t="n">
        <v>0.891458</v>
      </c>
      <c r="E673" t="n">
        <v>0.31702</v>
      </c>
      <c r="F673" t="n">
        <v>0.277628</v>
      </c>
      <c r="G673" t="n">
        <v>0.88576</v>
      </c>
      <c r="H673" t="n">
        <v>0.806482</v>
      </c>
      <c r="I673" t="n">
        <v>0.284942</v>
      </c>
      <c r="J673" t="n">
        <v>0.766128</v>
      </c>
      <c r="K673" t="n">
        <v>0</v>
      </c>
      <c r="L673" t="n">
        <v>0.3</v>
      </c>
      <c r="M673" t="n">
        <v>0.328608</v>
      </c>
    </row>
    <row r="674">
      <c r="A674" t="inlineStr">
        <is>
          <t>drop-0.1</t>
        </is>
      </c>
      <c r="B674" t="n">
        <v>13</v>
      </c>
      <c r="C674" t="n">
        <v>0.252366</v>
      </c>
      <c r="D674" t="n">
        <v>0.897474</v>
      </c>
      <c r="E674" t="n">
        <v>0.313277</v>
      </c>
      <c r="F674" t="n">
        <v>0.263844</v>
      </c>
      <c r="G674" t="n">
        <v>0.8933759999999999</v>
      </c>
      <c r="H674" t="n">
        <v>0.827896</v>
      </c>
      <c r="I674" t="n">
        <v>0.284091</v>
      </c>
      <c r="J674" t="n">
        <v>0.477521</v>
      </c>
      <c r="K674" t="n">
        <v>0</v>
      </c>
      <c r="L674" t="n">
        <v>0.3</v>
      </c>
      <c r="M674" t="n">
        <v>0.325864</v>
      </c>
    </row>
    <row r="675">
      <c r="A675" t="inlineStr">
        <is>
          <t>drop-0.1</t>
        </is>
      </c>
      <c r="B675" t="n">
        <v>14</v>
      </c>
      <c r="C675" t="n">
        <v>0.255534</v>
      </c>
      <c r="D675" t="n">
        <v>0.894973</v>
      </c>
      <c r="E675" t="n">
        <v>0.306854</v>
      </c>
      <c r="F675" t="n">
        <v>0.268379</v>
      </c>
      <c r="G675" t="n">
        <v>0.890052</v>
      </c>
      <c r="H675" t="n">
        <v>0.828146</v>
      </c>
      <c r="I675" t="n">
        <v>0.280954</v>
      </c>
      <c r="J675" t="n">
        <v>0.44619</v>
      </c>
      <c r="K675" t="n">
        <v>0</v>
      </c>
      <c r="L675" t="n">
        <v>0.3</v>
      </c>
      <c r="M675" t="n">
        <v>0.320558</v>
      </c>
    </row>
    <row r="676">
      <c r="A676" t="inlineStr">
        <is>
          <t>drop-0.1</t>
        </is>
      </c>
      <c r="B676" t="n">
        <v>15</v>
      </c>
      <c r="C676" t="n">
        <v>0.249721</v>
      </c>
      <c r="D676" t="n">
        <v>0.898999</v>
      </c>
      <c r="E676" t="n">
        <v>0.303074</v>
      </c>
      <c r="F676" t="n">
        <v>0.261214</v>
      </c>
      <c r="G676" t="n">
        <v>0.893096</v>
      </c>
      <c r="H676" t="n">
        <v>0.829735</v>
      </c>
      <c r="I676" t="n">
        <v>0.281822</v>
      </c>
      <c r="J676" t="n">
        <v>0.606333</v>
      </c>
      <c r="K676" t="n">
        <v>0</v>
      </c>
      <c r="L676" t="n">
        <v>0.3</v>
      </c>
      <c r="M676" t="n">
        <v>0.324458</v>
      </c>
    </row>
    <row r="677">
      <c r="A677" t="inlineStr">
        <is>
          <t>drop-0.1</t>
        </is>
      </c>
      <c r="B677" t="n">
        <v>16</v>
      </c>
      <c r="C677" t="n">
        <v>0.240782</v>
      </c>
      <c r="D677" t="n">
        <v>0.900817</v>
      </c>
      <c r="E677" t="n">
        <v>0.299339</v>
      </c>
      <c r="F677" t="n">
        <v>0.253392</v>
      </c>
      <c r="G677" t="n">
        <v>0.8948390000000001</v>
      </c>
      <c r="H677" t="n">
        <v>0.833035</v>
      </c>
      <c r="I677" t="n">
        <v>0.281786</v>
      </c>
      <c r="J677" t="n">
        <v>0.5526450000000001</v>
      </c>
      <c r="K677" t="n">
        <v>0</v>
      </c>
      <c r="L677" t="n">
        <v>0.3</v>
      </c>
      <c r="M677" t="n">
        <v>0.322318</v>
      </c>
    </row>
    <row r="678">
      <c r="A678" t="inlineStr">
        <is>
          <t>drop-0.1</t>
        </is>
      </c>
      <c r="B678" t="n">
        <v>17</v>
      </c>
      <c r="C678" t="n">
        <v>0.245813</v>
      </c>
      <c r="D678" t="n">
        <v>0.897686</v>
      </c>
      <c r="E678" t="n">
        <v>0.296004</v>
      </c>
      <c r="F678" t="n">
        <v>0.258983</v>
      </c>
      <c r="G678" t="n">
        <v>0.892074</v>
      </c>
      <c r="H678" t="n">
        <v>0.825653</v>
      </c>
      <c r="I678" t="n">
        <v>0.280383</v>
      </c>
      <c r="J678" t="n">
        <v>0.477829</v>
      </c>
      <c r="K678" t="n">
        <v>0</v>
      </c>
      <c r="L678" t="n">
        <v>0.3</v>
      </c>
      <c r="M678" t="n">
        <v>0.322288</v>
      </c>
    </row>
    <row r="679">
      <c r="A679" t="inlineStr">
        <is>
          <t>drop-0.1</t>
        </is>
      </c>
      <c r="B679" t="n">
        <v>18</v>
      </c>
      <c r="C679" t="n">
        <v>0.232685</v>
      </c>
      <c r="D679" t="n">
        <v>0.904778</v>
      </c>
      <c r="E679" t="n">
        <v>0.293648</v>
      </c>
      <c r="F679" t="n">
        <v>0.245458</v>
      </c>
      <c r="G679" t="n">
        <v>0.900185</v>
      </c>
      <c r="H679" t="n">
        <v>0.843601</v>
      </c>
      <c r="I679" t="n">
        <v>0.279232</v>
      </c>
      <c r="J679" t="n">
        <v>0.564941</v>
      </c>
      <c r="K679" t="n">
        <v>0</v>
      </c>
      <c r="L679" t="n">
        <v>0.3</v>
      </c>
      <c r="M679" t="n">
        <v>0.323331</v>
      </c>
    </row>
    <row r="680">
      <c r="A680" t="inlineStr">
        <is>
          <t>drop-0.1</t>
        </is>
      </c>
      <c r="B680" t="n">
        <v>19</v>
      </c>
      <c r="C680" t="n">
        <v>0.231524</v>
      </c>
      <c r="D680" t="n">
        <v>0.904598</v>
      </c>
      <c r="E680" t="n">
        <v>0.290044</v>
      </c>
      <c r="F680" t="n">
        <v>0.245832</v>
      </c>
      <c r="G680" t="n">
        <v>0.898905</v>
      </c>
      <c r="H680" t="n">
        <v>0.836229</v>
      </c>
      <c r="I680" t="n">
        <v>0.277838</v>
      </c>
      <c r="J680" t="n">
        <v>0.509585</v>
      </c>
      <c r="K680" t="n">
        <v>0</v>
      </c>
      <c r="L680" t="n">
        <v>0.3</v>
      </c>
      <c r="M680" t="n">
        <v>0.32991</v>
      </c>
    </row>
    <row r="681">
      <c r="A681" t="inlineStr">
        <is>
          <t>drop-0.1</t>
        </is>
      </c>
      <c r="B681" t="n">
        <v>20</v>
      </c>
      <c r="C681" t="n">
        <v>0.226844</v>
      </c>
      <c r="D681" t="n">
        <v>0.907922</v>
      </c>
      <c r="E681" t="n">
        <v>0.287592</v>
      </c>
      <c r="F681" t="n">
        <v>0.238972</v>
      </c>
      <c r="G681" t="n">
        <v>0.9033369999999999</v>
      </c>
      <c r="H681" t="n">
        <v>0.839118</v>
      </c>
      <c r="I681" t="n">
        <v>0.277257</v>
      </c>
      <c r="J681" t="n">
        <v>0.511873</v>
      </c>
      <c r="K681" t="n">
        <v>0</v>
      </c>
      <c r="L681" t="n">
        <v>0.3</v>
      </c>
      <c r="M681" t="n">
        <v>0.322821</v>
      </c>
    </row>
    <row r="682">
      <c r="A682" t="inlineStr">
        <is>
          <t>drop-0.3</t>
        </is>
      </c>
      <c r="B682" t="n">
        <v>1</v>
      </c>
      <c r="C682" t="n">
        <v>0.501178</v>
      </c>
      <c r="D682" t="n">
        <v>0.7832519999999999</v>
      </c>
      <c r="E682" t="n">
        <v>0.617914</v>
      </c>
      <c r="F682" t="n">
        <v>0.502874</v>
      </c>
      <c r="G682" t="n">
        <v>0.783535</v>
      </c>
      <c r="H682" t="n">
        <v>0.554754</v>
      </c>
      <c r="I682" t="n">
        <v>0.312464</v>
      </c>
      <c r="J682" t="n">
        <v>3.101479</v>
      </c>
      <c r="K682" t="n">
        <v>0</v>
      </c>
      <c r="L682" t="n">
        <v>0.3</v>
      </c>
      <c r="M682" t="n">
        <v>0.320989</v>
      </c>
    </row>
    <row r="683">
      <c r="A683" t="inlineStr">
        <is>
          <t>drop-0.3</t>
        </is>
      </c>
      <c r="B683" t="n">
        <v>2</v>
      </c>
      <c r="C683" t="n">
        <v>0.448698</v>
      </c>
      <c r="D683" t="n">
        <v>0.807932</v>
      </c>
      <c r="E683" t="n">
        <v>0.530599</v>
      </c>
      <c r="F683" t="n">
        <v>0.451969</v>
      </c>
      <c r="G683" t="n">
        <v>0.805716</v>
      </c>
      <c r="H683" t="n">
        <v>0.631379</v>
      </c>
      <c r="I683" t="n">
        <v>0.29021</v>
      </c>
      <c r="J683" t="n">
        <v>0.504648</v>
      </c>
      <c r="K683" t="n">
        <v>0</v>
      </c>
      <c r="L683" t="n">
        <v>0.3</v>
      </c>
      <c r="M683" t="n">
        <v>0.32705</v>
      </c>
    </row>
    <row r="684">
      <c r="A684" t="inlineStr">
        <is>
          <t>drop-0.3</t>
        </is>
      </c>
      <c r="B684" t="n">
        <v>3</v>
      </c>
      <c r="C684" t="n">
        <v>0.426497</v>
      </c>
      <c r="D684" t="n">
        <v>0.819302</v>
      </c>
      <c r="E684" t="n">
        <v>0.499591</v>
      </c>
      <c r="F684" t="n">
        <v>0.431005</v>
      </c>
      <c r="G684" t="n">
        <v>0.817388</v>
      </c>
      <c r="H684" t="n">
        <v>0.627957</v>
      </c>
      <c r="I684" t="n">
        <v>0.286632</v>
      </c>
      <c r="J684" t="n">
        <v>0.429632</v>
      </c>
      <c r="K684" t="n">
        <v>0</v>
      </c>
      <c r="L684" t="n">
        <v>0.3</v>
      </c>
      <c r="M684" t="n">
        <v>0.324987</v>
      </c>
    </row>
    <row r="685">
      <c r="A685" t="inlineStr">
        <is>
          <t>drop-0.3</t>
        </is>
      </c>
      <c r="B685" t="n">
        <v>4</v>
      </c>
      <c r="C685" t="n">
        <v>0.41139</v>
      </c>
      <c r="D685" t="n">
        <v>0.822142</v>
      </c>
      <c r="E685" t="n">
        <v>0.481542</v>
      </c>
      <c r="F685" t="n">
        <v>0.416531</v>
      </c>
      <c r="G685" t="n">
        <v>0.818797</v>
      </c>
      <c r="H685" t="n">
        <v>0.683447</v>
      </c>
      <c r="I685" t="n">
        <v>0.291446</v>
      </c>
      <c r="J685" t="n">
        <v>0.47083</v>
      </c>
      <c r="K685" t="n">
        <v>0</v>
      </c>
      <c r="L685" t="n">
        <v>0.3</v>
      </c>
      <c r="M685" t="n">
        <v>0.321822</v>
      </c>
    </row>
    <row r="686">
      <c r="A686" t="inlineStr">
        <is>
          <t>drop-0.3</t>
        </is>
      </c>
      <c r="B686" t="n">
        <v>5</v>
      </c>
      <c r="C686" t="n">
        <v>0.389856</v>
      </c>
      <c r="D686" t="n">
        <v>0.837627</v>
      </c>
      <c r="E686" t="n">
        <v>0.467563</v>
      </c>
      <c r="F686" t="n">
        <v>0.394794</v>
      </c>
      <c r="G686" t="n">
        <v>0.83461</v>
      </c>
      <c r="H686" t="n">
        <v>0.6202029999999999</v>
      </c>
      <c r="I686" t="n">
        <v>0.289159</v>
      </c>
      <c r="J686" t="n">
        <v>0.498988</v>
      </c>
      <c r="K686" t="n">
        <v>0</v>
      </c>
      <c r="L686" t="n">
        <v>0.3</v>
      </c>
      <c r="M686" t="n">
        <v>0.322633</v>
      </c>
    </row>
    <row r="687">
      <c r="A687" t="inlineStr">
        <is>
          <t>drop-0.3</t>
        </is>
      </c>
      <c r="B687" t="n">
        <v>6</v>
      </c>
      <c r="C687" t="n">
        <v>0.389713</v>
      </c>
      <c r="D687" t="n">
        <v>0.83796</v>
      </c>
      <c r="E687" t="n">
        <v>0.456303</v>
      </c>
      <c r="F687" t="n">
        <v>0.395277</v>
      </c>
      <c r="G687" t="n">
        <v>0.833416</v>
      </c>
      <c r="H687" t="n">
        <v>0.698845</v>
      </c>
      <c r="I687" t="n">
        <v>0.285546</v>
      </c>
      <c r="J687" t="n">
        <v>0.503753</v>
      </c>
      <c r="K687" t="n">
        <v>0</v>
      </c>
      <c r="L687" t="n">
        <v>0.3</v>
      </c>
      <c r="M687" t="n">
        <v>0.330457</v>
      </c>
    </row>
    <row r="688">
      <c r="A688" t="inlineStr">
        <is>
          <t>drop-0.3</t>
        </is>
      </c>
      <c r="B688" t="n">
        <v>7</v>
      </c>
      <c r="C688" t="n">
        <v>0.36695</v>
      </c>
      <c r="D688" t="n">
        <v>0.844568</v>
      </c>
      <c r="E688" t="n">
        <v>0.445756</v>
      </c>
      <c r="F688" t="n">
        <v>0.370518</v>
      </c>
      <c r="G688" t="n">
        <v>0.8426129999999999</v>
      </c>
      <c r="H688" t="n">
        <v>0.705543</v>
      </c>
      <c r="I688" t="n">
        <v>0.286977</v>
      </c>
      <c r="J688" t="n">
        <v>0.538164</v>
      </c>
      <c r="K688" t="n">
        <v>0</v>
      </c>
      <c r="L688" t="n">
        <v>0.3</v>
      </c>
      <c r="M688" t="n">
        <v>0.32196</v>
      </c>
    </row>
    <row r="689">
      <c r="A689" t="inlineStr">
        <is>
          <t>drop-0.3</t>
        </is>
      </c>
      <c r="B689" t="n">
        <v>8</v>
      </c>
      <c r="C689" t="n">
        <v>0.357131</v>
      </c>
      <c r="D689" t="n">
        <v>0.849882</v>
      </c>
      <c r="E689" t="n">
        <v>0.44007</v>
      </c>
      <c r="F689" t="n">
        <v>0.362142</v>
      </c>
      <c r="G689" t="n">
        <v>0.8458830000000001</v>
      </c>
      <c r="H689" t="n">
        <v>0.717964</v>
      </c>
      <c r="I689" t="n">
        <v>0.285284</v>
      </c>
      <c r="J689" t="n">
        <v>0.499179</v>
      </c>
      <c r="K689" t="n">
        <v>0</v>
      </c>
      <c r="L689" t="n">
        <v>0.3</v>
      </c>
      <c r="M689" t="n">
        <v>0.324017</v>
      </c>
    </row>
    <row r="690">
      <c r="A690" t="inlineStr">
        <is>
          <t>drop-0.3</t>
        </is>
      </c>
      <c r="B690" t="n">
        <v>9</v>
      </c>
      <c r="C690" t="n">
        <v>0.358919</v>
      </c>
      <c r="D690" t="n">
        <v>0.84861</v>
      </c>
      <c r="E690" t="n">
        <v>0.433836</v>
      </c>
      <c r="F690" t="n">
        <v>0.364379</v>
      </c>
      <c r="G690" t="n">
        <v>0.845786</v>
      </c>
      <c r="H690" t="n">
        <v>0.6911350000000001</v>
      </c>
      <c r="I690" t="n">
        <v>0.285972</v>
      </c>
      <c r="J690" t="n">
        <v>0.435314</v>
      </c>
      <c r="K690" t="n">
        <v>0</v>
      </c>
      <c r="L690" t="n">
        <v>0.3</v>
      </c>
      <c r="M690" t="n">
        <v>0.324925</v>
      </c>
    </row>
    <row r="691">
      <c r="A691" t="inlineStr">
        <is>
          <t>drop-0.3</t>
        </is>
      </c>
      <c r="B691" t="n">
        <v>10</v>
      </c>
      <c r="C691" t="n">
        <v>0.349938</v>
      </c>
      <c r="D691" t="n">
        <v>0.856707</v>
      </c>
      <c r="E691" t="n">
        <v>0.429674</v>
      </c>
      <c r="F691" t="n">
        <v>0.355788</v>
      </c>
      <c r="G691" t="n">
        <v>0.853714</v>
      </c>
      <c r="H691" t="n">
        <v>0.74363</v>
      </c>
      <c r="I691" t="n">
        <v>0.283804</v>
      </c>
      <c r="J691" t="n">
        <v>0.568009</v>
      </c>
      <c r="K691" t="n">
        <v>0</v>
      </c>
      <c r="L691" t="n">
        <v>0.3</v>
      </c>
      <c r="M691" t="n">
        <v>0.326124</v>
      </c>
    </row>
    <row r="692">
      <c r="A692" t="inlineStr">
        <is>
          <t>drop-0.3</t>
        </is>
      </c>
      <c r="B692" t="n">
        <v>11</v>
      </c>
      <c r="C692" t="n">
        <v>0.345471</v>
      </c>
      <c r="D692" t="n">
        <v>0.857312</v>
      </c>
      <c r="E692" t="n">
        <v>0.423496</v>
      </c>
      <c r="F692" t="n">
        <v>0.351921</v>
      </c>
      <c r="G692" t="n">
        <v>0.853155</v>
      </c>
      <c r="H692" t="n">
        <v>0.738397</v>
      </c>
      <c r="I692" t="n">
        <v>0.282312</v>
      </c>
      <c r="J692" t="n">
        <v>0.40093</v>
      </c>
      <c r="K692" t="n">
        <v>0</v>
      </c>
      <c r="L692" t="n">
        <v>0.3</v>
      </c>
      <c r="M692" t="n">
        <v>0.323323</v>
      </c>
    </row>
    <row r="693">
      <c r="A693" t="inlineStr">
        <is>
          <t>drop-0.3</t>
        </is>
      </c>
      <c r="B693" t="n">
        <v>12</v>
      </c>
      <c r="C693" t="n">
        <v>0.33881</v>
      </c>
      <c r="D693" t="n">
        <v>0.859558</v>
      </c>
      <c r="E693" t="n">
        <v>0.420515</v>
      </c>
      <c r="F693" t="n">
        <v>0.345295</v>
      </c>
      <c r="G693" t="n">
        <v>0.8555430000000001</v>
      </c>
      <c r="H693" t="n">
        <v>0.738112</v>
      </c>
      <c r="I693" t="n">
        <v>0.282064</v>
      </c>
      <c r="J693" t="n">
        <v>0.735168</v>
      </c>
      <c r="K693" t="n">
        <v>0</v>
      </c>
      <c r="L693" t="n">
        <v>0.3</v>
      </c>
      <c r="M693" t="n">
        <v>0.323241</v>
      </c>
    </row>
    <row r="694">
      <c r="A694" t="inlineStr">
        <is>
          <t>drop-0.3</t>
        </is>
      </c>
      <c r="B694" t="n">
        <v>13</v>
      </c>
      <c r="C694" t="n">
        <v>0.336418</v>
      </c>
      <c r="D694" t="n">
        <v>0.8616740000000001</v>
      </c>
      <c r="E694" t="n">
        <v>0.416247</v>
      </c>
      <c r="F694" t="n">
        <v>0.341991</v>
      </c>
      <c r="G694" t="n">
        <v>0.858286</v>
      </c>
      <c r="H694" t="n">
        <v>0.7647040000000001</v>
      </c>
      <c r="I694" t="n">
        <v>0.281137</v>
      </c>
      <c r="J694" t="n">
        <v>0.5633280000000001</v>
      </c>
      <c r="K694" t="n">
        <v>0</v>
      </c>
      <c r="L694" t="n">
        <v>0.3</v>
      </c>
      <c r="M694" t="n">
        <v>0.330921</v>
      </c>
    </row>
    <row r="695">
      <c r="A695" t="inlineStr">
        <is>
          <t>drop-0.3</t>
        </is>
      </c>
      <c r="B695" t="n">
        <v>14</v>
      </c>
      <c r="C695" t="n">
        <v>0.338821</v>
      </c>
      <c r="D695" t="n">
        <v>0.85714</v>
      </c>
      <c r="E695" t="n">
        <v>0.411048</v>
      </c>
      <c r="F695" t="n">
        <v>0.345032</v>
      </c>
      <c r="G695" t="n">
        <v>0.853639</v>
      </c>
      <c r="H695" t="n">
        <v>0.7388749999999999</v>
      </c>
      <c r="I695" t="n">
        <v>0.279566</v>
      </c>
      <c r="J695" t="n">
        <v>0.558895</v>
      </c>
      <c r="K695" t="n">
        <v>0</v>
      </c>
      <c r="L695" t="n">
        <v>0.3</v>
      </c>
      <c r="M695" t="n">
        <v>0.323519</v>
      </c>
    </row>
    <row r="696">
      <c r="A696" t="inlineStr">
        <is>
          <t>drop-0.3</t>
        </is>
      </c>
      <c r="B696" t="n">
        <v>15</v>
      </c>
      <c r="C696" t="n">
        <v>0.334044</v>
      </c>
      <c r="D696" t="n">
        <v>0.860426</v>
      </c>
      <c r="E696" t="n">
        <v>0.408505</v>
      </c>
      <c r="F696" t="n">
        <v>0.33974</v>
      </c>
      <c r="G696" t="n">
        <v>0.858329</v>
      </c>
      <c r="H696" t="n">
        <v>0.754579</v>
      </c>
      <c r="I696" t="n">
        <v>0.277283</v>
      </c>
      <c r="J696" t="n">
        <v>0.477203</v>
      </c>
      <c r="K696" t="n">
        <v>0</v>
      </c>
      <c r="L696" t="n">
        <v>0.3</v>
      </c>
      <c r="M696" t="n">
        <v>0.320675</v>
      </c>
    </row>
    <row r="697">
      <c r="A697" t="inlineStr">
        <is>
          <t>drop-0.3</t>
        </is>
      </c>
      <c r="B697" t="n">
        <v>16</v>
      </c>
      <c r="C697" t="n">
        <v>0.320266</v>
      </c>
      <c r="D697" t="n">
        <v>0.868828</v>
      </c>
      <c r="E697" t="n">
        <v>0.406179</v>
      </c>
      <c r="F697" t="n">
        <v>0.325781</v>
      </c>
      <c r="G697" t="n">
        <v>0.865386</v>
      </c>
      <c r="H697" t="n">
        <v>0.773324</v>
      </c>
      <c r="I697" t="n">
        <v>0.278348</v>
      </c>
      <c r="J697" t="n">
        <v>0.461403</v>
      </c>
      <c r="K697" t="n">
        <v>0</v>
      </c>
      <c r="L697" t="n">
        <v>0.3</v>
      </c>
      <c r="M697" t="n">
        <v>0.32574</v>
      </c>
    </row>
    <row r="698">
      <c r="A698" t="inlineStr">
        <is>
          <t>drop-0.3</t>
        </is>
      </c>
      <c r="B698" t="n">
        <v>17</v>
      </c>
      <c r="C698" t="n">
        <v>0.321554</v>
      </c>
      <c r="D698" t="n">
        <v>0.869519</v>
      </c>
      <c r="E698" t="n">
        <v>0.403099</v>
      </c>
      <c r="F698" t="n">
        <v>0.328013</v>
      </c>
      <c r="G698" t="n">
        <v>0.866397</v>
      </c>
      <c r="H698" t="n">
        <v>0.759584</v>
      </c>
      <c r="I698" t="n">
        <v>0.27838</v>
      </c>
      <c r="J698" t="n">
        <v>0.465902</v>
      </c>
      <c r="K698" t="n">
        <v>0</v>
      </c>
      <c r="L698" t="n">
        <v>0.3</v>
      </c>
      <c r="M698" t="n">
        <v>0.325015</v>
      </c>
    </row>
    <row r="699">
      <c r="A699" t="inlineStr">
        <is>
          <t>drop-0.3</t>
        </is>
      </c>
      <c r="B699" t="n">
        <v>18</v>
      </c>
      <c r="C699" t="n">
        <v>0.316341</v>
      </c>
      <c r="D699" t="n">
        <v>0.870756</v>
      </c>
      <c r="E699" t="n">
        <v>0.401569</v>
      </c>
      <c r="F699" t="n">
        <v>0.32363</v>
      </c>
      <c r="G699" t="n">
        <v>0.867236</v>
      </c>
      <c r="H699" t="n">
        <v>0.774045</v>
      </c>
      <c r="I699" t="n">
        <v>0.278309</v>
      </c>
      <c r="J699" t="n">
        <v>0.5728799999999999</v>
      </c>
      <c r="K699" t="n">
        <v>0</v>
      </c>
      <c r="L699" t="n">
        <v>0.3</v>
      </c>
      <c r="M699" t="n">
        <v>0.320716</v>
      </c>
    </row>
    <row r="700">
      <c r="A700" t="inlineStr">
        <is>
          <t>drop-0.3</t>
        </is>
      </c>
      <c r="B700" t="n">
        <v>19</v>
      </c>
      <c r="C700" t="n">
        <v>0.31081</v>
      </c>
      <c r="D700" t="n">
        <v>0.871297</v>
      </c>
      <c r="E700" t="n">
        <v>0.396277</v>
      </c>
      <c r="F700" t="n">
        <v>0.316392</v>
      </c>
      <c r="G700" t="n">
        <v>0.868236</v>
      </c>
      <c r="H700" t="n">
        <v>0.773517</v>
      </c>
      <c r="I700" t="n">
        <v>0.276521</v>
      </c>
      <c r="J700" t="n">
        <v>0.522397</v>
      </c>
      <c r="K700" t="n">
        <v>0</v>
      </c>
      <c r="L700" t="n">
        <v>0.3</v>
      </c>
      <c r="M700" t="n">
        <v>0.326076</v>
      </c>
    </row>
    <row r="701">
      <c r="A701" t="inlineStr">
        <is>
          <t>drop-0.3</t>
        </is>
      </c>
      <c r="B701" t="n">
        <v>20</v>
      </c>
      <c r="C701" t="n">
        <v>0.304816</v>
      </c>
      <c r="D701" t="n">
        <v>0.874892</v>
      </c>
      <c r="E701" t="n">
        <v>0.395683</v>
      </c>
      <c r="F701" t="n">
        <v>0.312099</v>
      </c>
      <c r="G701" t="n">
        <v>0.871776</v>
      </c>
      <c r="H701" t="n">
        <v>0.789897</v>
      </c>
      <c r="I701" t="n">
        <v>0.276689</v>
      </c>
      <c r="J701" t="n">
        <v>0.556438</v>
      </c>
      <c r="K701" t="n">
        <v>0</v>
      </c>
      <c r="L701" t="n">
        <v>0.3</v>
      </c>
      <c r="M701" t="n">
        <v>0.333326</v>
      </c>
    </row>
    <row r="702">
      <c r="A702" t="inlineStr">
        <is>
          <t>drop-0.5</t>
        </is>
      </c>
      <c r="B702" t="n">
        <v>1</v>
      </c>
      <c r="C702" t="n">
        <v>0.556759</v>
      </c>
      <c r="D702" t="n">
        <v>0.759186</v>
      </c>
      <c r="E702" t="n">
        <v>0.6838880000000001</v>
      </c>
      <c r="F702" t="n">
        <v>0.55876</v>
      </c>
      <c r="G702" t="n">
        <v>0.757923</v>
      </c>
      <c r="H702" t="n">
        <v>0.489183</v>
      </c>
      <c r="I702" t="n">
        <v>0.326152</v>
      </c>
      <c r="J702" t="n">
        <v>3.401947</v>
      </c>
      <c r="K702" t="n">
        <v>0</v>
      </c>
      <c r="L702" t="n">
        <v>0.3</v>
      </c>
      <c r="M702" t="n">
        <v>0.31739</v>
      </c>
    </row>
    <row r="703">
      <c r="A703" t="inlineStr">
        <is>
          <t>drop-0.5</t>
        </is>
      </c>
      <c r="B703" t="n">
        <v>2</v>
      </c>
      <c r="C703" t="n">
        <v>0.512945</v>
      </c>
      <c r="D703" t="n">
        <v>0.780926</v>
      </c>
      <c r="E703" t="n">
        <v>0.603892</v>
      </c>
      <c r="F703" t="n">
        <v>0.5150749999999999</v>
      </c>
      <c r="G703" t="n">
        <v>0.778017</v>
      </c>
      <c r="H703" t="n">
        <v>0.5282249999999999</v>
      </c>
      <c r="I703" t="n">
        <v>0.296869</v>
      </c>
      <c r="J703" t="n">
        <v>0.61965</v>
      </c>
      <c r="K703" t="n">
        <v>0</v>
      </c>
      <c r="L703" t="n">
        <v>0.3</v>
      </c>
      <c r="M703" t="n">
        <v>0.324162</v>
      </c>
    </row>
    <row r="704">
      <c r="A704" t="inlineStr">
        <is>
          <t>drop-0.5</t>
        </is>
      </c>
      <c r="B704" t="n">
        <v>3</v>
      </c>
      <c r="C704" t="n">
        <v>0.502242</v>
      </c>
      <c r="D704" t="n">
        <v>0.782139</v>
      </c>
      <c r="E704" t="n">
        <v>0.5820650000000001</v>
      </c>
      <c r="F704" t="n">
        <v>0.5064109999999999</v>
      </c>
      <c r="G704" t="n">
        <v>0.780566</v>
      </c>
      <c r="H704" t="n">
        <v>0.486565</v>
      </c>
      <c r="I704" t="n">
        <v>0.296544</v>
      </c>
      <c r="J704" t="n">
        <v>0.482017</v>
      </c>
      <c r="K704" t="n">
        <v>0</v>
      </c>
      <c r="L704" t="n">
        <v>0.3</v>
      </c>
      <c r="M704" t="n">
        <v>0.334525</v>
      </c>
    </row>
    <row r="705">
      <c r="A705" t="inlineStr">
        <is>
          <t>drop-0.5</t>
        </is>
      </c>
      <c r="B705" t="n">
        <v>4</v>
      </c>
      <c r="C705" t="n">
        <v>0.483723</v>
      </c>
      <c r="D705" t="n">
        <v>0.791839</v>
      </c>
      <c r="E705" t="n">
        <v>0.5656870000000001</v>
      </c>
      <c r="F705" t="n">
        <v>0.487342</v>
      </c>
      <c r="G705" t="n">
        <v>0.789667</v>
      </c>
      <c r="H705" t="n">
        <v>0.572303</v>
      </c>
      <c r="I705" t="n">
        <v>0.29511</v>
      </c>
      <c r="J705" t="n">
        <v>0.46157</v>
      </c>
      <c r="K705" t="n">
        <v>0</v>
      </c>
      <c r="L705" t="n">
        <v>0.3</v>
      </c>
      <c r="M705" t="n">
        <v>0.321897</v>
      </c>
    </row>
    <row r="706">
      <c r="A706" t="inlineStr">
        <is>
          <t>drop-0.5</t>
        </is>
      </c>
      <c r="B706" t="n">
        <v>5</v>
      </c>
      <c r="C706" t="n">
        <v>0.48292</v>
      </c>
      <c r="D706" t="n">
        <v>0.793162</v>
      </c>
      <c r="E706" t="n">
        <v>0.557101</v>
      </c>
      <c r="F706" t="n">
        <v>0.486607</v>
      </c>
      <c r="G706" t="n">
        <v>0.79113</v>
      </c>
      <c r="H706" t="n">
        <v>0.526567</v>
      </c>
      <c r="I706" t="n">
        <v>0.295971</v>
      </c>
      <c r="J706" t="n">
        <v>0.554076</v>
      </c>
      <c r="K706" t="n">
        <v>0</v>
      </c>
      <c r="L706" t="n">
        <v>0.3</v>
      </c>
      <c r="M706" t="n">
        <v>0.323967</v>
      </c>
    </row>
    <row r="707">
      <c r="A707" t="inlineStr">
        <is>
          <t>drop-0.5</t>
        </is>
      </c>
      <c r="B707" t="n">
        <v>6</v>
      </c>
      <c r="C707" t="n">
        <v>0.472696</v>
      </c>
      <c r="D707" t="n">
        <v>0.800482</v>
      </c>
      <c r="E707" t="n">
        <v>0.548534</v>
      </c>
      <c r="F707" t="n">
        <v>0.47655</v>
      </c>
      <c r="G707" t="n">
        <v>0.797831</v>
      </c>
      <c r="H707" t="n">
        <v>0.553332</v>
      </c>
      <c r="I707" t="n">
        <v>0.29294</v>
      </c>
      <c r="J707" t="n">
        <v>0.638238</v>
      </c>
      <c r="K707" t="n">
        <v>0</v>
      </c>
      <c r="L707" t="n">
        <v>0.3</v>
      </c>
      <c r="M707" t="n">
        <v>0.324087</v>
      </c>
    </row>
    <row r="708">
      <c r="A708" t="inlineStr">
        <is>
          <t>drop-0.5</t>
        </is>
      </c>
      <c r="B708" t="n">
        <v>7</v>
      </c>
      <c r="C708" t="n">
        <v>0.458645</v>
      </c>
      <c r="D708" t="n">
        <v>0.803858</v>
      </c>
      <c r="E708" t="n">
        <v>0.541015</v>
      </c>
      <c r="F708" t="n">
        <v>0.461732</v>
      </c>
      <c r="G708" t="n">
        <v>0.801112</v>
      </c>
      <c r="H708" t="n">
        <v>0.568702</v>
      </c>
      <c r="I708" t="n">
        <v>0.289966</v>
      </c>
      <c r="J708" t="n">
        <v>0.441101</v>
      </c>
      <c r="K708" t="n">
        <v>0</v>
      </c>
      <c r="L708" t="n">
        <v>0.3</v>
      </c>
      <c r="M708" t="n">
        <v>0.329771</v>
      </c>
    </row>
    <row r="709">
      <c r="A709" t="inlineStr">
        <is>
          <t>drop-0.5</t>
        </is>
      </c>
      <c r="B709" t="n">
        <v>8</v>
      </c>
      <c r="C709" t="n">
        <v>0.443919</v>
      </c>
      <c r="D709" t="n">
        <v>0.808626</v>
      </c>
      <c r="E709" t="n">
        <v>0.536535</v>
      </c>
      <c r="F709" t="n">
        <v>0.447246</v>
      </c>
      <c r="G709" t="n">
        <v>0.8056950000000001</v>
      </c>
      <c r="H709" t="n">
        <v>0.589591</v>
      </c>
      <c r="I709" t="n">
        <v>0.293921</v>
      </c>
      <c r="J709" t="n">
        <v>0.556393</v>
      </c>
      <c r="K709" t="n">
        <v>0</v>
      </c>
      <c r="L709" t="n">
        <v>0.3</v>
      </c>
      <c r="M709" t="n">
        <v>0.326443</v>
      </c>
    </row>
    <row r="710">
      <c r="A710" t="inlineStr">
        <is>
          <t>drop-0.5</t>
        </is>
      </c>
      <c r="B710" t="n">
        <v>9</v>
      </c>
      <c r="C710" t="n">
        <v>0.447959</v>
      </c>
      <c r="D710" t="n">
        <v>0.8095909999999999</v>
      </c>
      <c r="E710" t="n">
        <v>0.53345</v>
      </c>
      <c r="F710" t="n">
        <v>0.451404</v>
      </c>
      <c r="G710" t="n">
        <v>0.806781</v>
      </c>
      <c r="H710" t="n">
        <v>0.536892</v>
      </c>
      <c r="I710" t="n">
        <v>0.292416</v>
      </c>
      <c r="J710" t="n">
        <v>0.492834</v>
      </c>
      <c r="K710" t="n">
        <v>0</v>
      </c>
      <c r="L710" t="n">
        <v>0.3</v>
      </c>
      <c r="M710" t="n">
        <v>0.323047</v>
      </c>
    </row>
    <row r="711">
      <c r="A711" t="inlineStr">
        <is>
          <t>drop-0.5</t>
        </is>
      </c>
      <c r="B711" t="n">
        <v>10</v>
      </c>
      <c r="C711" t="n">
        <v>0.438329</v>
      </c>
      <c r="D711" t="n">
        <v>0.813724</v>
      </c>
      <c r="E711" t="n">
        <v>0.527008</v>
      </c>
      <c r="F711" t="n">
        <v>0.440945</v>
      </c>
      <c r="G711" t="n">
        <v>0.811159</v>
      </c>
      <c r="H711" t="n">
        <v>0.6319669999999999</v>
      </c>
      <c r="I711" t="n">
        <v>0.291873</v>
      </c>
      <c r="J711" t="n">
        <v>0.558179</v>
      </c>
      <c r="K711" t="n">
        <v>0</v>
      </c>
      <c r="L711" t="n">
        <v>0.3</v>
      </c>
      <c r="M711" t="n">
        <v>0.330156</v>
      </c>
    </row>
    <row r="712">
      <c r="A712" t="inlineStr">
        <is>
          <t>drop-0.5</t>
        </is>
      </c>
      <c r="B712" t="n">
        <v>11</v>
      </c>
      <c r="C712" t="n">
        <v>0.437447</v>
      </c>
      <c r="D712" t="n">
        <v>0.814367</v>
      </c>
      <c r="E712" t="n">
        <v>0.524126</v>
      </c>
      <c r="F712" t="n">
        <v>0.440842</v>
      </c>
      <c r="G712" t="n">
        <v>0.811676</v>
      </c>
      <c r="H712" t="n">
        <v>0.602478</v>
      </c>
      <c r="I712" t="n">
        <v>0.289658</v>
      </c>
      <c r="J712" t="n">
        <v>0.39374</v>
      </c>
      <c r="K712" t="n">
        <v>0</v>
      </c>
      <c r="L712" t="n">
        <v>0.3</v>
      </c>
      <c r="M712" t="n">
        <v>0.321117</v>
      </c>
    </row>
    <row r="713">
      <c r="A713" t="inlineStr">
        <is>
          <t>drop-0.5</t>
        </is>
      </c>
      <c r="B713" t="n">
        <v>12</v>
      </c>
      <c r="C713" t="n">
        <v>0.433776</v>
      </c>
      <c r="D713" t="n">
        <v>0.814728</v>
      </c>
      <c r="E713" t="n">
        <v>0.521423</v>
      </c>
      <c r="F713" t="n">
        <v>0.438429</v>
      </c>
      <c r="G713" t="n">
        <v>0.811106</v>
      </c>
      <c r="H713" t="n">
        <v>0.633559</v>
      </c>
      <c r="I713" t="n">
        <v>0.291335</v>
      </c>
      <c r="J713" t="n">
        <v>0.724212</v>
      </c>
      <c r="K713" t="n">
        <v>0</v>
      </c>
      <c r="L713" t="n">
        <v>0.3</v>
      </c>
      <c r="M713" t="n">
        <v>0.321159</v>
      </c>
    </row>
    <row r="714">
      <c r="A714" t="inlineStr">
        <is>
          <t>drop-0.5</t>
        </is>
      </c>
      <c r="B714" t="n">
        <v>13</v>
      </c>
      <c r="C714" t="n">
        <v>0.433838</v>
      </c>
      <c r="D714" t="n">
        <v>0.818522</v>
      </c>
      <c r="E714" t="n">
        <v>0.520377</v>
      </c>
      <c r="F714" t="n">
        <v>0.437225</v>
      </c>
      <c r="G714" t="n">
        <v>0.816495</v>
      </c>
      <c r="H714" t="n">
        <v>0.659076</v>
      </c>
      <c r="I714" t="n">
        <v>0.290502</v>
      </c>
      <c r="J714" t="n">
        <v>0.604465</v>
      </c>
      <c r="K714" t="n">
        <v>0</v>
      </c>
      <c r="L714" t="n">
        <v>0.3</v>
      </c>
      <c r="M714" t="n">
        <v>0.324095</v>
      </c>
    </row>
    <row r="715">
      <c r="A715" t="inlineStr">
        <is>
          <t>drop-0.5</t>
        </is>
      </c>
      <c r="B715" t="n">
        <v>14</v>
      </c>
      <c r="C715" t="n">
        <v>0.436625</v>
      </c>
      <c r="D715" t="n">
        <v>0.813512</v>
      </c>
      <c r="E715" t="n">
        <v>0.515909</v>
      </c>
      <c r="F715" t="n">
        <v>0.441688</v>
      </c>
      <c r="G715" t="n">
        <v>0.81074</v>
      </c>
      <c r="H715" t="n">
        <v>0.595484</v>
      </c>
      <c r="I715" t="n">
        <v>0.287427</v>
      </c>
      <c r="J715" t="n">
        <v>0.415904</v>
      </c>
      <c r="K715" t="n">
        <v>0</v>
      </c>
      <c r="L715" t="n">
        <v>0.3</v>
      </c>
      <c r="M715" t="n">
        <v>0.326705</v>
      </c>
    </row>
    <row r="716">
      <c r="A716" t="inlineStr">
        <is>
          <t>drop-0.5</t>
        </is>
      </c>
      <c r="B716" t="n">
        <v>15</v>
      </c>
      <c r="C716" t="n">
        <v>0.427746</v>
      </c>
      <c r="D716" t="n">
        <v>0.818277</v>
      </c>
      <c r="E716" t="n">
        <v>0.5135150000000001</v>
      </c>
      <c r="F716" t="n">
        <v>0.43182</v>
      </c>
      <c r="G716" t="n">
        <v>0.816237</v>
      </c>
      <c r="H716" t="n">
        <v>0.677385</v>
      </c>
      <c r="I716" t="n">
        <v>0.289255</v>
      </c>
      <c r="J716" t="n">
        <v>0.458653</v>
      </c>
      <c r="K716" t="n">
        <v>0</v>
      </c>
      <c r="L716" t="n">
        <v>0.3</v>
      </c>
      <c r="M716" t="n">
        <v>0.321495</v>
      </c>
    </row>
    <row r="717">
      <c r="A717" t="inlineStr">
        <is>
          <t>drop-0.5</t>
        </is>
      </c>
      <c r="B717" t="n">
        <v>16</v>
      </c>
      <c r="C717" t="n">
        <v>0.423373</v>
      </c>
      <c r="D717" t="n">
        <v>0.822666</v>
      </c>
      <c r="E717" t="n">
        <v>0.5123450000000001</v>
      </c>
      <c r="F717" t="n">
        <v>0.427817</v>
      </c>
      <c r="G717" t="n">
        <v>0.819711</v>
      </c>
      <c r="H717" t="n">
        <v>0.648459</v>
      </c>
      <c r="I717" t="n">
        <v>0.290318</v>
      </c>
      <c r="J717" t="n">
        <v>0.444007</v>
      </c>
      <c r="K717" t="n">
        <v>0</v>
      </c>
      <c r="L717" t="n">
        <v>0.3</v>
      </c>
      <c r="M717" t="n">
        <v>0.328797</v>
      </c>
    </row>
    <row r="718">
      <c r="A718" t="inlineStr">
        <is>
          <t>drop-0.5</t>
        </is>
      </c>
      <c r="B718" t="n">
        <v>17</v>
      </c>
      <c r="C718" t="n">
        <v>0.424408</v>
      </c>
      <c r="D718" t="n">
        <v>0.822704</v>
      </c>
      <c r="E718" t="n">
        <v>0.5123529999999999</v>
      </c>
      <c r="F718" t="n">
        <v>0.428404</v>
      </c>
      <c r="G718" t="n">
        <v>0.819937</v>
      </c>
      <c r="H718" t="n">
        <v>0.616734</v>
      </c>
      <c r="I718" t="n">
        <v>0.291421</v>
      </c>
      <c r="J718" t="n">
        <v>0.420945</v>
      </c>
      <c r="K718" t="n">
        <v>0</v>
      </c>
      <c r="L718" t="n">
        <v>0.3</v>
      </c>
      <c r="M718" t="n">
        <v>0.331572</v>
      </c>
    </row>
    <row r="719">
      <c r="A719" t="inlineStr">
        <is>
          <t>drop-0.5</t>
        </is>
      </c>
      <c r="B719" t="n">
        <v>18</v>
      </c>
      <c r="C719" t="n">
        <v>0.420567</v>
      </c>
      <c r="D719" t="n">
        <v>0.826415</v>
      </c>
      <c r="E719" t="n">
        <v>0.508696</v>
      </c>
      <c r="F719" t="n">
        <v>0.424609</v>
      </c>
      <c r="G719" t="n">
        <v>0.824122</v>
      </c>
      <c r="H719" t="n">
        <v>0.677087</v>
      </c>
      <c r="I719" t="n">
        <v>0.288943</v>
      </c>
      <c r="J719" t="n">
        <v>0.5732969999999999</v>
      </c>
      <c r="K719" t="n">
        <v>0</v>
      </c>
      <c r="L719" t="n">
        <v>0.3</v>
      </c>
      <c r="M719" t="n">
        <v>0.323896</v>
      </c>
    </row>
    <row r="720">
      <c r="A720" t="inlineStr">
        <is>
          <t>drop-0.5</t>
        </is>
      </c>
      <c r="B720" t="n">
        <v>19</v>
      </c>
      <c r="C720" t="n">
        <v>0.428356</v>
      </c>
      <c r="D720" t="n">
        <v>0.817008</v>
      </c>
      <c r="E720" t="n">
        <v>0.509127</v>
      </c>
      <c r="F720" t="n">
        <v>0.432594</v>
      </c>
      <c r="G720" t="n">
        <v>0.815656</v>
      </c>
      <c r="H720" t="n">
        <v>0.641568</v>
      </c>
      <c r="I720" t="n">
        <v>0.29097</v>
      </c>
      <c r="J720" t="n">
        <v>0.468804</v>
      </c>
      <c r="K720" t="n">
        <v>0</v>
      </c>
      <c r="L720" t="n">
        <v>0.3</v>
      </c>
      <c r="M720" t="n">
        <v>0.319945</v>
      </c>
    </row>
    <row r="721">
      <c r="A721" t="inlineStr">
        <is>
          <t>drop-0.5</t>
        </is>
      </c>
      <c r="B721" t="n">
        <v>20</v>
      </c>
      <c r="C721" t="n">
        <v>0.414255</v>
      </c>
      <c r="D721" t="n">
        <v>0.826082</v>
      </c>
      <c r="E721" t="n">
        <v>0.507348</v>
      </c>
      <c r="F721" t="n">
        <v>0.418487</v>
      </c>
      <c r="G721" t="n">
        <v>0.823691</v>
      </c>
      <c r="H721" t="n">
        <v>0.64755</v>
      </c>
      <c r="I721" t="n">
        <v>0.289789</v>
      </c>
      <c r="J721" t="n">
        <v>0.585216</v>
      </c>
      <c r="K721" t="n">
        <v>0</v>
      </c>
      <c r="L721" t="n">
        <v>0.3</v>
      </c>
      <c r="M721" t="n">
        <v>0.325988</v>
      </c>
    </row>
    <row r="722">
      <c r="A722" t="inlineStr">
        <is>
          <t>clip-0.35</t>
        </is>
      </c>
      <c r="B722" t="n">
        <v>1</v>
      </c>
      <c r="C722" t="n">
        <v>0.427852</v>
      </c>
      <c r="D722" t="n">
        <v>0.819224</v>
      </c>
      <c r="E722" t="n">
        <v>0.531868</v>
      </c>
      <c r="F722" t="n">
        <v>0.431071</v>
      </c>
      <c r="G722" t="n">
        <v>0.818001</v>
      </c>
      <c r="H722" t="n">
        <v>0.639897</v>
      </c>
      <c r="I722" t="n">
        <v>0.480779</v>
      </c>
      <c r="J722" t="n">
        <v>2.871076</v>
      </c>
      <c r="K722" t="n">
        <v>0.856946</v>
      </c>
      <c r="L722" t="n">
        <v>0.3</v>
      </c>
      <c r="M722" t="n">
        <v>0.322238</v>
      </c>
    </row>
    <row r="723">
      <c r="A723" t="inlineStr">
        <is>
          <t>clip-0.35</t>
        </is>
      </c>
      <c r="B723" t="n">
        <v>2</v>
      </c>
      <c r="C723" t="n">
        <v>0.375556</v>
      </c>
      <c r="D723" t="n">
        <v>0.84478</v>
      </c>
      <c r="E723" t="n">
        <v>0.40749</v>
      </c>
      <c r="F723" t="n">
        <v>0.383434</v>
      </c>
      <c r="G723" t="n">
        <v>0.840763</v>
      </c>
      <c r="H723" t="n">
        <v>0.735142</v>
      </c>
      <c r="I723" t="n">
        <v>0.419574</v>
      </c>
      <c r="J723" t="n">
        <v>0.750959</v>
      </c>
      <c r="K723" t="n">
        <v>0.862448</v>
      </c>
      <c r="L723" t="n">
        <v>0.3</v>
      </c>
      <c r="M723" t="n">
        <v>0.321512</v>
      </c>
    </row>
    <row r="724">
      <c r="A724" t="inlineStr">
        <is>
          <t>clip-0.35</t>
        </is>
      </c>
      <c r="B724" t="n">
        <v>3</v>
      </c>
      <c r="C724" t="n">
        <v>0.335946</v>
      </c>
      <c r="D724" t="n">
        <v>0.858789</v>
      </c>
      <c r="E724" t="n">
        <v>0.361253</v>
      </c>
      <c r="F724" t="n">
        <v>0.344769</v>
      </c>
      <c r="G724" t="n">
        <v>0.854973</v>
      </c>
      <c r="H724" t="n">
        <v>0.741471</v>
      </c>
      <c r="I724" t="n">
        <v>0.411303</v>
      </c>
      <c r="J724" t="n">
        <v>0.681117</v>
      </c>
      <c r="K724" t="n">
        <v>0.878955</v>
      </c>
      <c r="L724" t="n">
        <v>0.3</v>
      </c>
      <c r="M724" t="n">
        <v>0.324725</v>
      </c>
    </row>
    <row r="725">
      <c r="A725" t="inlineStr">
        <is>
          <t>clip-0.35</t>
        </is>
      </c>
      <c r="B725" t="n">
        <v>4</v>
      </c>
      <c r="C725" t="n">
        <v>0.336028</v>
      </c>
      <c r="D725" t="n">
        <v>0.8580680000000001</v>
      </c>
      <c r="E725" t="n">
        <v>0.333479</v>
      </c>
      <c r="F725" t="n">
        <v>0.34574</v>
      </c>
      <c r="G725" t="n">
        <v>0.854328</v>
      </c>
      <c r="H725" t="n">
        <v>0.771068</v>
      </c>
      <c r="I725" t="n">
        <v>0.396842</v>
      </c>
      <c r="J725" t="n">
        <v>0.767929</v>
      </c>
      <c r="K725" t="n">
        <v>0.8335630000000001</v>
      </c>
      <c r="L725" t="n">
        <v>0.3</v>
      </c>
      <c r="M725" t="n">
        <v>0.325536</v>
      </c>
    </row>
    <row r="726">
      <c r="A726" t="inlineStr">
        <is>
          <t>clip-0.35</t>
        </is>
      </c>
      <c r="B726" t="n">
        <v>5</v>
      </c>
      <c r="C726" t="n">
        <v>0.299116</v>
      </c>
      <c r="D726" t="n">
        <v>0.87664</v>
      </c>
      <c r="E726" t="n">
        <v>0.311471</v>
      </c>
      <c r="F726" t="n">
        <v>0.311701</v>
      </c>
      <c r="G726" t="n">
        <v>0.87127</v>
      </c>
      <c r="H726" t="n">
        <v>0.799152</v>
      </c>
      <c r="I726" t="n">
        <v>0.392194</v>
      </c>
      <c r="J726" t="n">
        <v>0.59817</v>
      </c>
      <c r="K726" t="n">
        <v>0.78542</v>
      </c>
      <c r="L726" t="n">
        <v>0.3</v>
      </c>
      <c r="M726" t="n">
        <v>0.321322</v>
      </c>
    </row>
    <row r="727">
      <c r="A727" t="inlineStr">
        <is>
          <t>clip-0.35</t>
        </is>
      </c>
      <c r="B727" t="n">
        <v>6</v>
      </c>
      <c r="C727" t="n">
        <v>0.295156</v>
      </c>
      <c r="D727" t="n">
        <v>0.879259</v>
      </c>
      <c r="E727" t="n">
        <v>0.296845</v>
      </c>
      <c r="F727" t="n">
        <v>0.307383</v>
      </c>
      <c r="G727" t="n">
        <v>0.874519</v>
      </c>
      <c r="H727" t="n">
        <v>0.812661</v>
      </c>
      <c r="I727" t="n">
        <v>0.387038</v>
      </c>
      <c r="J727" t="n">
        <v>0.810427</v>
      </c>
      <c r="K727" t="n">
        <v>0.763411</v>
      </c>
      <c r="L727" t="n">
        <v>0.3</v>
      </c>
      <c r="M727" t="n">
        <v>0.321722</v>
      </c>
    </row>
    <row r="728">
      <c r="A728" t="inlineStr">
        <is>
          <t>clip-0.35</t>
        </is>
      </c>
      <c r="B728" t="n">
        <v>7</v>
      </c>
      <c r="C728" t="n">
        <v>0.280586</v>
      </c>
      <c r="D728" t="n">
        <v>0.885197</v>
      </c>
      <c r="E728" t="n">
        <v>0.282422</v>
      </c>
      <c r="F728" t="n">
        <v>0.29575</v>
      </c>
      <c r="G728" t="n">
        <v>0.8798859999999999</v>
      </c>
      <c r="H728" t="n">
        <v>0.793066</v>
      </c>
      <c r="I728" t="n">
        <v>0.381515</v>
      </c>
      <c r="J728" t="n">
        <v>0.563876</v>
      </c>
      <c r="K728" t="n">
        <v>0.752407</v>
      </c>
      <c r="L728" t="n">
        <v>0.3</v>
      </c>
      <c r="M728" t="n">
        <v>0.320951</v>
      </c>
    </row>
    <row r="729">
      <c r="A729" t="inlineStr">
        <is>
          <t>clip-0.35</t>
        </is>
      </c>
      <c r="B729" t="n">
        <v>8</v>
      </c>
      <c r="C729" t="n">
        <v>0.26388</v>
      </c>
      <c r="D729" t="n">
        <v>0.892421</v>
      </c>
      <c r="E729" t="n">
        <v>0.272119</v>
      </c>
      <c r="F729" t="n">
        <v>0.280073</v>
      </c>
      <c r="G729" t="n">
        <v>0.885383</v>
      </c>
      <c r="H729" t="n">
        <v>0.827241</v>
      </c>
      <c r="I729" t="n">
        <v>0.374618</v>
      </c>
      <c r="J729" t="n">
        <v>0.605414</v>
      </c>
      <c r="K729" t="n">
        <v>0.7070149999999999</v>
      </c>
      <c r="L729" t="n">
        <v>0.3</v>
      </c>
      <c r="M729" t="n">
        <v>0.319168</v>
      </c>
    </row>
    <row r="730">
      <c r="A730" t="inlineStr">
        <is>
          <t>clip-0.35</t>
        </is>
      </c>
      <c r="B730" t="n">
        <v>9</v>
      </c>
      <c r="C730" t="n">
        <v>0.243812</v>
      </c>
      <c r="D730" t="n">
        <v>0.901102</v>
      </c>
      <c r="E730" t="n">
        <v>0.261592</v>
      </c>
      <c r="F730" t="n">
        <v>0.261638</v>
      </c>
      <c r="G730" t="n">
        <v>0.894473</v>
      </c>
      <c r="H730" t="n">
        <v>0.827777</v>
      </c>
      <c r="I730" t="n">
        <v>0.372737</v>
      </c>
      <c r="J730" t="n">
        <v>0.5688800000000001</v>
      </c>
      <c r="K730" t="n">
        <v>0.683631</v>
      </c>
      <c r="L730" t="n">
        <v>0.3</v>
      </c>
      <c r="M730" t="n">
        <v>0.320488</v>
      </c>
    </row>
    <row r="731">
      <c r="A731" t="inlineStr">
        <is>
          <t>clip-0.35</t>
        </is>
      </c>
      <c r="B731" t="n">
        <v>10</v>
      </c>
      <c r="C731" t="n">
        <v>0.261433</v>
      </c>
      <c r="D731" t="n">
        <v>0.895242</v>
      </c>
      <c r="E731" t="n">
        <v>0.253261</v>
      </c>
      <c r="F731" t="n">
        <v>0.281736</v>
      </c>
      <c r="G731" t="n">
        <v>0.888471</v>
      </c>
      <c r="H731" t="n">
        <v>0.8209610000000001</v>
      </c>
      <c r="I731" t="n">
        <v>0.3687</v>
      </c>
      <c r="J731" t="n">
        <v>0.778919</v>
      </c>
      <c r="K731" t="n">
        <v>0.6506189999999999</v>
      </c>
      <c r="L731" t="n">
        <v>0.3</v>
      </c>
      <c r="M731" t="n">
        <v>0.321588</v>
      </c>
    </row>
    <row r="732">
      <c r="A732" t="inlineStr">
        <is>
          <t>clip-0.35</t>
        </is>
      </c>
      <c r="B732" t="n">
        <v>11</v>
      </c>
      <c r="C732" t="n">
        <v>0.237542</v>
      </c>
      <c r="D732" t="n">
        <v>0.903608</v>
      </c>
      <c r="E732" t="n">
        <v>0.245381</v>
      </c>
      <c r="F732" t="n">
        <v>0.256836</v>
      </c>
      <c r="G732" t="n">
        <v>0.896033</v>
      </c>
      <c r="H732" t="n">
        <v>0.825453</v>
      </c>
      <c r="I732" t="n">
        <v>0.367973</v>
      </c>
      <c r="J732" t="n">
        <v>0.705229</v>
      </c>
      <c r="K732" t="n">
        <v>0.627235</v>
      </c>
      <c r="L732" t="n">
        <v>0.3</v>
      </c>
      <c r="M732" t="n">
        <v>0.327723</v>
      </c>
    </row>
    <row r="733">
      <c r="A733" t="inlineStr">
        <is>
          <t>clip-0.35</t>
        </is>
      </c>
      <c r="B733" t="n">
        <v>12</v>
      </c>
      <c r="C733" t="n">
        <v>0.231878</v>
      </c>
      <c r="D733" t="n">
        <v>0.906714</v>
      </c>
      <c r="E733" t="n">
        <v>0.23925</v>
      </c>
      <c r="F733" t="n">
        <v>0.252681</v>
      </c>
      <c r="G733" t="n">
        <v>0.898991</v>
      </c>
      <c r="H733" t="n">
        <v>0.830044</v>
      </c>
      <c r="I733" t="n">
        <v>0.366012</v>
      </c>
      <c r="J733" t="n">
        <v>0.795929</v>
      </c>
      <c r="K733" t="n">
        <v>0.61348</v>
      </c>
      <c r="L733" t="n">
        <v>0.3</v>
      </c>
      <c r="M733" t="n">
        <v>0.324448</v>
      </c>
    </row>
    <row r="734">
      <c r="A734" t="inlineStr">
        <is>
          <t>clip-0.35</t>
        </is>
      </c>
      <c r="B734" t="n">
        <v>13</v>
      </c>
      <c r="C734" t="n">
        <v>0.228097</v>
      </c>
      <c r="D734" t="n">
        <v>0.907443</v>
      </c>
      <c r="E734" t="n">
        <v>0.235362</v>
      </c>
      <c r="F734" t="n">
        <v>0.250423</v>
      </c>
      <c r="G734" t="n">
        <v>0.900325</v>
      </c>
      <c r="H734" t="n">
        <v>0.845994</v>
      </c>
      <c r="I734" t="n">
        <v>0.365722</v>
      </c>
      <c r="J734" t="n">
        <v>0.637811</v>
      </c>
      <c r="K734" t="n">
        <v>0.627235</v>
      </c>
      <c r="L734" t="n">
        <v>0.3</v>
      </c>
      <c r="M734" t="n">
        <v>0.333912</v>
      </c>
    </row>
    <row r="735">
      <c r="A735" t="inlineStr">
        <is>
          <t>clip-0.35</t>
        </is>
      </c>
      <c r="B735" t="n">
        <v>14</v>
      </c>
      <c r="C735" t="n">
        <v>0.227312</v>
      </c>
      <c r="D735" t="n">
        <v>0.908973</v>
      </c>
      <c r="E735" t="n">
        <v>0.22938</v>
      </c>
      <c r="F735" t="n">
        <v>0.252192</v>
      </c>
      <c r="G735" t="n">
        <v>0.9004219999999999</v>
      </c>
      <c r="H735" t="n">
        <v>0.839072</v>
      </c>
      <c r="I735" t="n">
        <v>0.360401</v>
      </c>
      <c r="J735" t="n">
        <v>0.595007</v>
      </c>
      <c r="K735" t="n">
        <v>0.591472</v>
      </c>
      <c r="L735" t="n">
        <v>0.3</v>
      </c>
      <c r="M735" t="n">
        <v>0.327439</v>
      </c>
    </row>
    <row r="736">
      <c r="A736" t="inlineStr">
        <is>
          <t>clip-0.35</t>
        </is>
      </c>
      <c r="B736" t="n">
        <v>15</v>
      </c>
      <c r="C736" t="n">
        <v>0.210596</v>
      </c>
      <c r="D736" t="n">
        <v>0.915637</v>
      </c>
      <c r="E736" t="n">
        <v>0.227077</v>
      </c>
      <c r="F736" t="n">
        <v>0.232706</v>
      </c>
      <c r="G736" t="n">
        <v>0.908188</v>
      </c>
      <c r="H736" t="n">
        <v>0.848635</v>
      </c>
      <c r="I736" t="n">
        <v>0.362017</v>
      </c>
      <c r="J736" t="n">
        <v>0.569226</v>
      </c>
      <c r="K736" t="n">
        <v>0.588721</v>
      </c>
      <c r="L736" t="n">
        <v>0.3</v>
      </c>
      <c r="M736" t="n">
        <v>0.321383</v>
      </c>
    </row>
    <row r="737">
      <c r="A737" t="inlineStr">
        <is>
          <t>clip-0.35</t>
        </is>
      </c>
      <c r="B737" t="n">
        <v>16</v>
      </c>
      <c r="C737" t="n">
        <v>0.209732</v>
      </c>
      <c r="D737" t="n">
        <v>0.914825</v>
      </c>
      <c r="E737" t="n">
        <v>0.220841</v>
      </c>
      <c r="F737" t="n">
        <v>0.232584</v>
      </c>
      <c r="G737" t="n">
        <v>0.906349</v>
      </c>
      <c r="H737" t="n">
        <v>0.853379</v>
      </c>
      <c r="I737" t="n">
        <v>0.359697</v>
      </c>
      <c r="J737" t="n">
        <v>0.565961</v>
      </c>
      <c r="K737" t="n">
        <v>0.576341</v>
      </c>
      <c r="L737" t="n">
        <v>0.3</v>
      </c>
      <c r="M737" t="n">
        <v>0.319725</v>
      </c>
    </row>
    <row r="738">
      <c r="A738" t="inlineStr">
        <is>
          <t>clip-0.35</t>
        </is>
      </c>
      <c r="B738" t="n">
        <v>17</v>
      </c>
      <c r="C738" t="n">
        <v>0.210597</v>
      </c>
      <c r="D738" t="n">
        <v>0.9154870000000001</v>
      </c>
      <c r="E738" t="n">
        <v>0.217492</v>
      </c>
      <c r="F738" t="n">
        <v>0.235437</v>
      </c>
      <c r="G738" t="n">
        <v>0.906672</v>
      </c>
      <c r="H738" t="n">
        <v>0.84904</v>
      </c>
      <c r="I738" t="n">
        <v>0.357988</v>
      </c>
      <c r="J738" t="n">
        <v>0.622085</v>
      </c>
      <c r="K738" t="n">
        <v>0.552957</v>
      </c>
      <c r="L738" t="n">
        <v>0.3</v>
      </c>
      <c r="M738" t="n">
        <v>0.321913</v>
      </c>
    </row>
    <row r="739">
      <c r="A739" t="inlineStr">
        <is>
          <t>clip-0.35</t>
        </is>
      </c>
      <c r="B739" t="n">
        <v>18</v>
      </c>
      <c r="C739" t="n">
        <v>0.204644</v>
      </c>
      <c r="D739" t="n">
        <v>0.917396</v>
      </c>
      <c r="E739" t="n">
        <v>0.215103</v>
      </c>
      <c r="F739" t="n">
        <v>0.228464</v>
      </c>
      <c r="G739" t="n">
        <v>0.908425</v>
      </c>
      <c r="H739" t="n">
        <v>0.86169</v>
      </c>
      <c r="I739" t="n">
        <v>0.357889</v>
      </c>
      <c r="J739" t="n">
        <v>0.611383</v>
      </c>
      <c r="K739" t="n">
        <v>0.5790920000000001</v>
      </c>
      <c r="L739" t="n">
        <v>0.3</v>
      </c>
      <c r="M739" t="n">
        <v>0.323005</v>
      </c>
    </row>
    <row r="740">
      <c r="A740" t="inlineStr">
        <is>
          <t>clip-0.35</t>
        </is>
      </c>
      <c r="B740" t="n">
        <v>19</v>
      </c>
      <c r="C740" t="n">
        <v>0.215928</v>
      </c>
      <c r="D740" t="n">
        <v>0.911426</v>
      </c>
      <c r="E740" t="n">
        <v>0.212463</v>
      </c>
      <c r="F740" t="n">
        <v>0.240442</v>
      </c>
      <c r="G740" t="n">
        <v>0.9051979999999999</v>
      </c>
      <c r="H740" t="n">
        <v>0.849654</v>
      </c>
      <c r="I740" t="n">
        <v>0.359405</v>
      </c>
      <c r="J740" t="n">
        <v>0.693616</v>
      </c>
      <c r="K740" t="n">
        <v>0.565337</v>
      </c>
      <c r="L740" t="n">
        <v>0.3</v>
      </c>
      <c r="M740" t="n">
        <v>0.32099</v>
      </c>
    </row>
    <row r="741">
      <c r="A741" t="inlineStr">
        <is>
          <t>clip-0.35</t>
        </is>
      </c>
      <c r="B741" t="n">
        <v>20</v>
      </c>
      <c r="C741" t="n">
        <v>0.205943</v>
      </c>
      <c r="D741" t="n">
        <v>0.917418</v>
      </c>
      <c r="E741" t="n">
        <v>0.208706</v>
      </c>
      <c r="F741" t="n">
        <v>0.234002</v>
      </c>
      <c r="G741" t="n">
        <v>0.908178</v>
      </c>
      <c r="H741" t="n">
        <v>0.856903</v>
      </c>
      <c r="I741" t="n">
        <v>0.355055</v>
      </c>
      <c r="J741" t="n">
        <v>0.5746250000000001</v>
      </c>
      <c r="K741" t="n">
        <v>0.5130670000000001</v>
      </c>
      <c r="L741" t="n">
        <v>0.3</v>
      </c>
      <c r="M741" t="n">
        <v>0.321637</v>
      </c>
    </row>
    <row r="742">
      <c r="A742" t="inlineStr">
        <is>
          <t>clip-none-lr0.9</t>
        </is>
      </c>
      <c r="B742" t="n">
        <v>1</v>
      </c>
      <c r="C742" t="n">
        <v>0.518161</v>
      </c>
      <c r="D742" t="n">
        <v>0.774856</v>
      </c>
      <c r="E742" t="n">
        <v>0.629975</v>
      </c>
      <c r="F742" t="n">
        <v>0.5217580000000001</v>
      </c>
      <c r="G742" t="n">
        <v>0.7749509999999999</v>
      </c>
      <c r="H742" t="n">
        <v>0.564685</v>
      </c>
      <c r="I742" t="n">
        <v>0.30822</v>
      </c>
      <c r="J742" t="n">
        <v>10.041382</v>
      </c>
      <c r="K742" t="n">
        <v>0</v>
      </c>
      <c r="L742" t="n">
        <v>0.9</v>
      </c>
      <c r="M742" t="n">
        <v>0.30657</v>
      </c>
    </row>
    <row r="743">
      <c r="A743" t="inlineStr">
        <is>
          <t>clip-none-lr0.9</t>
        </is>
      </c>
      <c r="B743" t="n">
        <v>2</v>
      </c>
      <c r="C743" t="n">
        <v>0.484764</v>
      </c>
      <c r="D743" t="n">
        <v>0.795257</v>
      </c>
      <c r="E743" t="n">
        <v>0.497401</v>
      </c>
      <c r="F743" t="n">
        <v>0.490109</v>
      </c>
      <c r="G743" t="n">
        <v>0.792991</v>
      </c>
      <c r="H743" t="n">
        <v>0.597012</v>
      </c>
      <c r="I743" t="n">
        <v>0.264493</v>
      </c>
      <c r="J743" t="n">
        <v>0.501858</v>
      </c>
      <c r="K743" t="n">
        <v>0</v>
      </c>
      <c r="L743" t="n">
        <v>0.9</v>
      </c>
      <c r="M743" t="n">
        <v>0.309929</v>
      </c>
    </row>
    <row r="744">
      <c r="A744" t="inlineStr">
        <is>
          <t>clip-none-lr0.9</t>
        </is>
      </c>
      <c r="B744" t="n">
        <v>3</v>
      </c>
      <c r="C744" t="n">
        <v>0.481875</v>
      </c>
      <c r="D744" t="n">
        <v>0.803005</v>
      </c>
      <c r="E744" t="n">
        <v>0.462113</v>
      </c>
      <c r="F744" t="n">
        <v>0.486939</v>
      </c>
      <c r="G744" t="n">
        <v>0.80349</v>
      </c>
      <c r="H744" t="n">
        <v>0.6280790000000001</v>
      </c>
      <c r="I744" t="n">
        <v>0.262958</v>
      </c>
      <c r="J744" t="n">
        <v>0.509311</v>
      </c>
      <c r="K744" t="n">
        <v>0</v>
      </c>
      <c r="L744" t="n">
        <v>0.9</v>
      </c>
      <c r="M744" t="n">
        <v>0.308857</v>
      </c>
    </row>
    <row r="745">
      <c r="A745" t="inlineStr">
        <is>
          <t>clip-none-lr0.9</t>
        </is>
      </c>
      <c r="B745" t="n">
        <v>4</v>
      </c>
      <c r="C745" t="n">
        <v>0.461011</v>
      </c>
      <c r="D745" t="n">
        <v>0.811869</v>
      </c>
      <c r="E745" t="n">
        <v>0.439764</v>
      </c>
      <c r="F745" t="n">
        <v>0.467293</v>
      </c>
      <c r="G745" t="n">
        <v>0.809557</v>
      </c>
      <c r="H745" t="n">
        <v>0.657065</v>
      </c>
      <c r="I745" t="n">
        <v>0.258243</v>
      </c>
      <c r="J745" t="n">
        <v>0.495101</v>
      </c>
      <c r="K745" t="n">
        <v>0</v>
      </c>
      <c r="L745" t="n">
        <v>0.9</v>
      </c>
      <c r="M745" t="n">
        <v>0.310922</v>
      </c>
    </row>
    <row r="746">
      <c r="A746" t="inlineStr">
        <is>
          <t>clip-none-lr0.9</t>
        </is>
      </c>
      <c r="B746" t="n">
        <v>5</v>
      </c>
      <c r="C746" t="n">
        <v>0.401298</v>
      </c>
      <c r="D746" t="n">
        <v>0.828978</v>
      </c>
      <c r="E746" t="n">
        <v>0.427757</v>
      </c>
      <c r="F746" t="n">
        <v>0.409209</v>
      </c>
      <c r="G746" t="n">
        <v>0.8251540000000001</v>
      </c>
      <c r="H746" t="n">
        <v>0.707704</v>
      </c>
      <c r="I746" t="n">
        <v>0.260115</v>
      </c>
      <c r="J746" t="n">
        <v>0.525883</v>
      </c>
      <c r="K746" t="n">
        <v>0</v>
      </c>
      <c r="L746" t="n">
        <v>0.9</v>
      </c>
      <c r="M746" t="n">
        <v>0.311771</v>
      </c>
    </row>
    <row r="747">
      <c r="A747" t="inlineStr">
        <is>
          <t>clip-none-lr0.9</t>
        </is>
      </c>
      <c r="B747" t="n">
        <v>6</v>
      </c>
      <c r="C747" t="n">
        <v>0.401983</v>
      </c>
      <c r="D747" t="n">
        <v>0.832151</v>
      </c>
      <c r="E747" t="n">
        <v>0.415942</v>
      </c>
      <c r="F747" t="n">
        <v>0.411644</v>
      </c>
      <c r="G747" t="n">
        <v>0.828747</v>
      </c>
      <c r="H747" t="n">
        <v>0.704057</v>
      </c>
      <c r="I747" t="n">
        <v>0.25627</v>
      </c>
      <c r="J747" t="n">
        <v>0.471096</v>
      </c>
      <c r="K747" t="n">
        <v>0</v>
      </c>
      <c r="L747" t="n">
        <v>0.9</v>
      </c>
      <c r="M747" t="n">
        <v>0.311078</v>
      </c>
    </row>
    <row r="748">
      <c r="A748" t="inlineStr">
        <is>
          <t>clip-none-lr0.9</t>
        </is>
      </c>
      <c r="B748" t="n">
        <v>7</v>
      </c>
      <c r="C748" t="n">
        <v>0.378566</v>
      </c>
      <c r="D748" t="n">
        <v>0.8410260000000001</v>
      </c>
      <c r="E748" t="n">
        <v>0.396552</v>
      </c>
      <c r="F748" t="n">
        <v>0.388562</v>
      </c>
      <c r="G748" t="n">
        <v>0.837331</v>
      </c>
      <c r="H748" t="n">
        <v>0.716295</v>
      </c>
      <c r="I748" t="n">
        <v>0.252681</v>
      </c>
      <c r="J748" t="n">
        <v>0.47147</v>
      </c>
      <c r="K748" t="n">
        <v>0</v>
      </c>
      <c r="L748" t="n">
        <v>0.9</v>
      </c>
      <c r="M748" t="n">
        <v>0.309064</v>
      </c>
    </row>
    <row r="749">
      <c r="A749" t="inlineStr">
        <is>
          <t>clip-none-lr0.9</t>
        </is>
      </c>
      <c r="B749" t="n">
        <v>8</v>
      </c>
      <c r="C749" t="n">
        <v>0.383566</v>
      </c>
      <c r="D749" t="n">
        <v>0.848448</v>
      </c>
      <c r="E749" t="n">
        <v>0.386664</v>
      </c>
      <c r="F749" t="n">
        <v>0.395087</v>
      </c>
      <c r="G749" t="n">
        <v>0.844399</v>
      </c>
      <c r="H749" t="n">
        <v>0.746348</v>
      </c>
      <c r="I749" t="n">
        <v>0.253031</v>
      </c>
      <c r="J749" t="n">
        <v>0.433858</v>
      </c>
      <c r="K749" t="n">
        <v>0</v>
      </c>
      <c r="L749" t="n">
        <v>0.9</v>
      </c>
      <c r="M749" t="n">
        <v>0.317911</v>
      </c>
    </row>
    <row r="750">
      <c r="A750" t="inlineStr">
        <is>
          <t>clip-none-lr0.9</t>
        </is>
      </c>
      <c r="B750" t="n">
        <v>9</v>
      </c>
      <c r="C750" t="n">
        <v>0.378459</v>
      </c>
      <c r="D750" t="n">
        <v>0.845541</v>
      </c>
      <c r="E750" t="n">
        <v>0.374366</v>
      </c>
      <c r="F750" t="n">
        <v>0.389593</v>
      </c>
      <c r="G750" t="n">
        <v>0.842882</v>
      </c>
      <c r="H750" t="n">
        <v>0.635962</v>
      </c>
      <c r="I750" t="n">
        <v>0.252199</v>
      </c>
      <c r="J750" t="n">
        <v>0.436808</v>
      </c>
      <c r="K750" t="n">
        <v>0</v>
      </c>
      <c r="L750" t="n">
        <v>0.9</v>
      </c>
      <c r="M750" t="n">
        <v>0.307443</v>
      </c>
    </row>
    <row r="751">
      <c r="A751" t="inlineStr">
        <is>
          <t>clip-none-lr0.9</t>
        </is>
      </c>
      <c r="B751" t="n">
        <v>10</v>
      </c>
      <c r="C751" t="n">
        <v>0.367602</v>
      </c>
      <c r="D751" t="n">
        <v>0.847695</v>
      </c>
      <c r="E751" t="n">
        <v>0.369222</v>
      </c>
      <c r="F751" t="n">
        <v>0.379838</v>
      </c>
      <c r="G751" t="n">
        <v>0.841946</v>
      </c>
      <c r="H751" t="n">
        <v>0.745758</v>
      </c>
      <c r="I751" t="n">
        <v>0.253965</v>
      </c>
      <c r="J751" t="n">
        <v>0.579558</v>
      </c>
      <c r="K751" t="n">
        <v>0</v>
      </c>
      <c r="L751" t="n">
        <v>0.9</v>
      </c>
      <c r="M751" t="n">
        <v>0.311646</v>
      </c>
    </row>
    <row r="752">
      <c r="A752" t="inlineStr">
        <is>
          <t>clip-none-lr0.9</t>
        </is>
      </c>
      <c r="B752" t="n">
        <v>11</v>
      </c>
      <c r="C752" t="n">
        <v>0.355029</v>
      </c>
      <c r="D752" t="n">
        <v>0.856102</v>
      </c>
      <c r="E752" t="n">
        <v>0.363684</v>
      </c>
      <c r="F752" t="n">
        <v>0.368237</v>
      </c>
      <c r="G752" t="n">
        <v>0.8528</v>
      </c>
      <c r="H752" t="n">
        <v>0.734663</v>
      </c>
      <c r="I752" t="n">
        <v>0.253025</v>
      </c>
      <c r="J752" t="n">
        <v>0.635742</v>
      </c>
      <c r="K752" t="n">
        <v>0</v>
      </c>
      <c r="L752" t="n">
        <v>0.9</v>
      </c>
      <c r="M752" t="n">
        <v>0.309106</v>
      </c>
    </row>
    <row r="753">
      <c r="A753" t="inlineStr">
        <is>
          <t>clip-none-lr0.9</t>
        </is>
      </c>
      <c r="B753" t="n">
        <v>12</v>
      </c>
      <c r="C753" t="n">
        <v>0.330245</v>
      </c>
      <c r="D753" t="n">
        <v>0.861946</v>
      </c>
      <c r="E753" t="n">
        <v>0.35606</v>
      </c>
      <c r="F753" t="n">
        <v>0.342054</v>
      </c>
      <c r="G753" t="n">
        <v>0.859082</v>
      </c>
      <c r="H753" t="n">
        <v>0.763247</v>
      </c>
      <c r="I753" t="n">
        <v>0.249898</v>
      </c>
      <c r="J753" t="n">
        <v>0.574752</v>
      </c>
      <c r="K753" t="n">
        <v>0</v>
      </c>
      <c r="L753" t="n">
        <v>0.9</v>
      </c>
      <c r="M753" t="n">
        <v>0.312876</v>
      </c>
    </row>
    <row r="754">
      <c r="A754" t="inlineStr">
        <is>
          <t>clip-none-lr0.9</t>
        </is>
      </c>
      <c r="B754" t="n">
        <v>13</v>
      </c>
      <c r="C754" t="n">
        <v>0.338856</v>
      </c>
      <c r="D754" t="n">
        <v>0.8605660000000001</v>
      </c>
      <c r="E754" t="n">
        <v>0.351473</v>
      </c>
      <c r="F754" t="n">
        <v>0.354316</v>
      </c>
      <c r="G754" t="n">
        <v>0.855973</v>
      </c>
      <c r="H754" t="n">
        <v>0.7500250000000001</v>
      </c>
      <c r="I754" t="n">
        <v>0.25287</v>
      </c>
      <c r="J754" t="n">
        <v>0.443782</v>
      </c>
      <c r="K754" t="n">
        <v>0</v>
      </c>
      <c r="L754" t="n">
        <v>0.9</v>
      </c>
      <c r="M754" t="n">
        <v>0.307369</v>
      </c>
    </row>
    <row r="755">
      <c r="A755" t="inlineStr">
        <is>
          <t>clip-none-lr0.9</t>
        </is>
      </c>
      <c r="B755" t="n">
        <v>14</v>
      </c>
      <c r="C755" t="n">
        <v>0.351363</v>
      </c>
      <c r="D755" t="n">
        <v>0.858167</v>
      </c>
      <c r="E755" t="n">
        <v>0.359659</v>
      </c>
      <c r="F755" t="n">
        <v>0.365239</v>
      </c>
      <c r="G755" t="n">
        <v>0.855016</v>
      </c>
      <c r="H755" t="n">
        <v>0.757011</v>
      </c>
      <c r="I755" t="n">
        <v>0.258476</v>
      </c>
      <c r="J755" t="n">
        <v>0.582545</v>
      </c>
      <c r="K755" t="n">
        <v>0</v>
      </c>
      <c r="L755" t="n">
        <v>0.9</v>
      </c>
      <c r="M755" t="n">
        <v>0.310336</v>
      </c>
    </row>
    <row r="756">
      <c r="A756" t="inlineStr">
        <is>
          <t>clip-none-lr0.9</t>
        </is>
      </c>
      <c r="B756" t="n">
        <v>15</v>
      </c>
      <c r="C756" t="n">
        <v>0.325991</v>
      </c>
      <c r="D756" t="n">
        <v>0.868704</v>
      </c>
      <c r="E756" t="n">
        <v>0.345304</v>
      </c>
      <c r="F756" t="n">
        <v>0.340052</v>
      </c>
      <c r="G756" t="n">
        <v>0.863611</v>
      </c>
      <c r="H756" t="n">
        <v>0.779038</v>
      </c>
      <c r="I756" t="n">
        <v>0.25007</v>
      </c>
      <c r="J756" t="n">
        <v>0.500586</v>
      </c>
      <c r="K756" t="n">
        <v>0</v>
      </c>
      <c r="L756" t="n">
        <v>0.9</v>
      </c>
      <c r="M756" t="n">
        <v>0.316885</v>
      </c>
    </row>
    <row r="757">
      <c r="A757" t="inlineStr">
        <is>
          <t>clip-none-lr0.9</t>
        </is>
      </c>
      <c r="B757" t="n">
        <v>16</v>
      </c>
      <c r="C757" t="n">
        <v>0.334197</v>
      </c>
      <c r="D757" t="n">
        <v>0.867693</v>
      </c>
      <c r="E757" t="n">
        <v>0.338503</v>
      </c>
      <c r="F757" t="n">
        <v>0.356092</v>
      </c>
      <c r="G757" t="n">
        <v>0.862299</v>
      </c>
      <c r="H757" t="n">
        <v>0.753268</v>
      </c>
      <c r="I757" t="n">
        <v>0.249498</v>
      </c>
      <c r="J757" t="n">
        <v>0.442124</v>
      </c>
      <c r="K757" t="n">
        <v>0</v>
      </c>
      <c r="L757" t="n">
        <v>0.9</v>
      </c>
      <c r="M757" t="n">
        <v>0.307983</v>
      </c>
    </row>
    <row r="758">
      <c r="A758" t="inlineStr">
        <is>
          <t>clip-none-lr0.9</t>
        </is>
      </c>
      <c r="B758" t="n">
        <v>17</v>
      </c>
      <c r="C758" t="n">
        <v>0.313751</v>
      </c>
      <c r="D758" t="n">
        <v>0.873158</v>
      </c>
      <c r="E758" t="n">
        <v>0.334267</v>
      </c>
      <c r="F758" t="n">
        <v>0.329622</v>
      </c>
      <c r="G758" t="n">
        <v>0.868688</v>
      </c>
      <c r="H758" t="n">
        <v>0.792751</v>
      </c>
      <c r="I758" t="n">
        <v>0.24609</v>
      </c>
      <c r="J758" t="n">
        <v>0.433418</v>
      </c>
      <c r="K758" t="n">
        <v>0</v>
      </c>
      <c r="L758" t="n">
        <v>0.9</v>
      </c>
      <c r="M758" t="n">
        <v>0.308548</v>
      </c>
    </row>
    <row r="759">
      <c r="A759" t="inlineStr">
        <is>
          <t>clip-none-lr0.9</t>
        </is>
      </c>
      <c r="B759" t="n">
        <v>18</v>
      </c>
      <c r="C759" t="n">
        <v>0.334588</v>
      </c>
      <c r="D759" t="n">
        <v>0.865649</v>
      </c>
      <c r="E759" t="n">
        <v>0.329065</v>
      </c>
      <c r="F759" t="n">
        <v>0.353935</v>
      </c>
      <c r="G759" t="n">
        <v>0.860147</v>
      </c>
      <c r="H759" t="n">
        <v>0.759984</v>
      </c>
      <c r="I759" t="n">
        <v>0.244558</v>
      </c>
      <c r="J759" t="n">
        <v>0.542351</v>
      </c>
      <c r="K759" t="n">
        <v>0</v>
      </c>
      <c r="L759" t="n">
        <v>0.9</v>
      </c>
      <c r="M759" t="n">
        <v>0.315833</v>
      </c>
    </row>
    <row r="760">
      <c r="A760" t="inlineStr">
        <is>
          <t>clip-none-lr0.9</t>
        </is>
      </c>
      <c r="B760" t="n">
        <v>19</v>
      </c>
      <c r="C760" t="n">
        <v>0.317333</v>
      </c>
      <c r="D760" t="n">
        <v>0.871267</v>
      </c>
      <c r="E760" t="n">
        <v>0.32887</v>
      </c>
      <c r="F760" t="n">
        <v>0.337577</v>
      </c>
      <c r="G760" t="n">
        <v>0.866139</v>
      </c>
      <c r="H760" t="n">
        <v>0.7803909999999999</v>
      </c>
      <c r="I760" t="n">
        <v>0.247295</v>
      </c>
      <c r="J760" t="n">
        <v>0.5210360000000001</v>
      </c>
      <c r="K760" t="n">
        <v>0</v>
      </c>
      <c r="L760" t="n">
        <v>0.9</v>
      </c>
      <c r="M760" t="n">
        <v>0.321757</v>
      </c>
    </row>
    <row r="761">
      <c r="A761" t="inlineStr">
        <is>
          <t>clip-none-lr0.9</t>
        </is>
      </c>
      <c r="B761" t="n">
        <v>20</v>
      </c>
      <c r="C761" t="n">
        <v>0.320014</v>
      </c>
      <c r="D761" t="n">
        <v>0.873822</v>
      </c>
      <c r="E761" t="n">
        <v>0.328557</v>
      </c>
      <c r="F761" t="n">
        <v>0.340195</v>
      </c>
      <c r="G761" t="n">
        <v>0.86772</v>
      </c>
      <c r="H761" t="n">
        <v>0.7779470000000001</v>
      </c>
      <c r="I761" t="n">
        <v>0.246482</v>
      </c>
      <c r="J761" t="n">
        <v>0.513771</v>
      </c>
      <c r="K761" t="n">
        <v>0</v>
      </c>
      <c r="L761" t="n">
        <v>0.9</v>
      </c>
      <c r="M761" t="n">
        <v>0.308703</v>
      </c>
    </row>
    <row r="762">
      <c r="A762" t="inlineStr">
        <is>
          <t>clip-0.35-lr0.9</t>
        </is>
      </c>
      <c r="B762" t="n">
        <v>1</v>
      </c>
      <c r="C762" t="n">
        <v>0.455585</v>
      </c>
      <c r="D762" t="n">
        <v>0.8046720000000001</v>
      </c>
      <c r="E762" t="n">
        <v>0.554705</v>
      </c>
      <c r="F762" t="n">
        <v>0.458367</v>
      </c>
      <c r="G762" t="n">
        <v>0.803049</v>
      </c>
      <c r="H762" t="n">
        <v>0.651545</v>
      </c>
      <c r="I762" t="n">
        <v>0.331035</v>
      </c>
      <c r="J762" t="n">
        <v>2.988976</v>
      </c>
      <c r="K762" t="n">
        <v>0.198074</v>
      </c>
      <c r="L762" t="n">
        <v>0.9</v>
      </c>
      <c r="M762" t="n">
        <v>0.318246</v>
      </c>
    </row>
    <row r="763">
      <c r="A763" t="inlineStr">
        <is>
          <t>clip-0.35-lr0.9</t>
        </is>
      </c>
      <c r="B763" t="n">
        <v>2</v>
      </c>
      <c r="C763" t="n">
        <v>0.444279</v>
      </c>
      <c r="D763" t="n">
        <v>0.817742</v>
      </c>
      <c r="E763" t="n">
        <v>0.440336</v>
      </c>
      <c r="F763" t="n">
        <v>0.45374</v>
      </c>
      <c r="G763" t="n">
        <v>0.81501</v>
      </c>
      <c r="H763" t="n">
        <v>0.686851</v>
      </c>
      <c r="I763" t="n">
        <v>0.270494</v>
      </c>
      <c r="J763" t="n">
        <v>0.542512</v>
      </c>
      <c r="K763" t="n">
        <v>0.024759</v>
      </c>
      <c r="L763" t="n">
        <v>0.9</v>
      </c>
      <c r="M763" t="n">
        <v>0.329259</v>
      </c>
    </row>
    <row r="764">
      <c r="A764" t="inlineStr">
        <is>
          <t>clip-0.35-lr0.9</t>
        </is>
      </c>
      <c r="B764" t="n">
        <v>3</v>
      </c>
      <c r="C764" t="n">
        <v>0.418194</v>
      </c>
      <c r="D764" t="n">
        <v>0.835045</v>
      </c>
      <c r="E764" t="n">
        <v>0.403606</v>
      </c>
      <c r="F764" t="n">
        <v>0.426681</v>
      </c>
      <c r="G764" t="n">
        <v>0.832071</v>
      </c>
      <c r="H764" t="n">
        <v>0.67426</v>
      </c>
      <c r="I764" t="n">
        <v>0.266329</v>
      </c>
      <c r="J764" t="n">
        <v>0.477248</v>
      </c>
      <c r="K764" t="n">
        <v>0.011004</v>
      </c>
      <c r="L764" t="n">
        <v>0.9</v>
      </c>
      <c r="M764" t="n">
        <v>0.322998</v>
      </c>
    </row>
    <row r="765">
      <c r="A765" t="inlineStr">
        <is>
          <t>clip-0.35-lr0.9</t>
        </is>
      </c>
      <c r="B765" t="n">
        <v>4</v>
      </c>
      <c r="C765" t="n">
        <v>0.388437</v>
      </c>
      <c r="D765" t="n">
        <v>0.842002</v>
      </c>
      <c r="E765" t="n">
        <v>0.373598</v>
      </c>
      <c r="F765" t="n">
        <v>0.397799</v>
      </c>
      <c r="G765" t="n">
        <v>0.839246</v>
      </c>
      <c r="H765" t="n">
        <v>0.734214</v>
      </c>
      <c r="I765" t="n">
        <v>0.259005</v>
      </c>
      <c r="J765" t="n">
        <v>0.405255</v>
      </c>
      <c r="K765" t="n">
        <v>0.002751</v>
      </c>
      <c r="L765" t="n">
        <v>0.9</v>
      </c>
      <c r="M765" t="n">
        <v>0.321933</v>
      </c>
    </row>
    <row r="766">
      <c r="A766" t="inlineStr">
        <is>
          <t>clip-0.35-lr0.9</t>
        </is>
      </c>
      <c r="B766" t="n">
        <v>5</v>
      </c>
      <c r="C766" t="n">
        <v>0.356916</v>
      </c>
      <c r="D766" t="n">
        <v>0.8532</v>
      </c>
      <c r="E766" t="n">
        <v>0.356625</v>
      </c>
      <c r="F766" t="n">
        <v>0.36648</v>
      </c>
      <c r="G766" t="n">
        <v>0.848928</v>
      </c>
      <c r="H766" t="n">
        <v>0.7530520000000001</v>
      </c>
      <c r="I766" t="n">
        <v>0.258468</v>
      </c>
      <c r="J766" t="n">
        <v>0.43526</v>
      </c>
      <c r="K766" t="n">
        <v>0.016506</v>
      </c>
      <c r="L766" t="n">
        <v>0.9</v>
      </c>
      <c r="M766" t="n">
        <v>0.324925</v>
      </c>
    </row>
    <row r="767">
      <c r="A767" t="inlineStr">
        <is>
          <t>clip-0.35-lr0.9</t>
        </is>
      </c>
      <c r="B767" t="n">
        <v>6</v>
      </c>
      <c r="C767" t="n">
        <v>0.340699</v>
      </c>
      <c r="D767" t="n">
        <v>0.860383</v>
      </c>
      <c r="E767" t="n">
        <v>0.343062</v>
      </c>
      <c r="F767" t="n">
        <v>0.354155</v>
      </c>
      <c r="G767" t="n">
        <v>0.85763</v>
      </c>
      <c r="H767" t="n">
        <v>0.759846</v>
      </c>
      <c r="I767" t="n">
        <v>0.255407</v>
      </c>
      <c r="J767" t="n">
        <v>0.520824</v>
      </c>
      <c r="K767" t="n">
        <v>0.006878</v>
      </c>
      <c r="L767" t="n">
        <v>0.9</v>
      </c>
      <c r="M767" t="n">
        <v>0.321717</v>
      </c>
    </row>
    <row r="768">
      <c r="A768" t="inlineStr">
        <is>
          <t>clip-0.35-lr0.9</t>
        </is>
      </c>
      <c r="B768" t="n">
        <v>7</v>
      </c>
      <c r="C768" t="n">
        <v>0.331117</v>
      </c>
      <c r="D768" t="n">
        <v>0.867644</v>
      </c>
      <c r="E768" t="n">
        <v>0.329438</v>
      </c>
      <c r="F768" t="n">
        <v>0.345823</v>
      </c>
      <c r="G768" t="n">
        <v>0.862428</v>
      </c>
      <c r="H768" t="n">
        <v>0.77079</v>
      </c>
      <c r="I768" t="n">
        <v>0.252622</v>
      </c>
      <c r="J768" t="n">
        <v>0.378065</v>
      </c>
      <c r="K768" t="n">
        <v>0.009629</v>
      </c>
      <c r="L768" t="n">
        <v>0.9</v>
      </c>
      <c r="M768" t="n">
        <v>0.32341</v>
      </c>
    </row>
    <row r="769">
      <c r="A769" t="inlineStr">
        <is>
          <t>clip-0.35-lr0.9</t>
        </is>
      </c>
      <c r="B769" t="n">
        <v>8</v>
      </c>
      <c r="C769" t="n">
        <v>0.318437</v>
      </c>
      <c r="D769" t="n">
        <v>0.87415</v>
      </c>
      <c r="E769" t="n">
        <v>0.320323</v>
      </c>
      <c r="F769" t="n">
        <v>0.332769</v>
      </c>
      <c r="G769" t="n">
        <v>0.868688</v>
      </c>
      <c r="H769" t="n">
        <v>0.78115</v>
      </c>
      <c r="I769" t="n">
        <v>0.25182</v>
      </c>
      <c r="J769" t="n">
        <v>0.48181</v>
      </c>
      <c r="K769" t="n">
        <v>0.01238</v>
      </c>
      <c r="L769" t="n">
        <v>0.9</v>
      </c>
      <c r="M769" t="n">
        <v>0.325297</v>
      </c>
    </row>
    <row r="770">
      <c r="A770" t="inlineStr">
        <is>
          <t>clip-0.35-lr0.9</t>
        </is>
      </c>
      <c r="B770" t="n">
        <v>9</v>
      </c>
      <c r="C770" t="n">
        <v>0.303346</v>
      </c>
      <c r="D770" t="n">
        <v>0.879077</v>
      </c>
      <c r="E770" t="n">
        <v>0.307923</v>
      </c>
      <c r="F770" t="n">
        <v>0.322681</v>
      </c>
      <c r="G770" t="n">
        <v>0.873927</v>
      </c>
      <c r="H770" t="n">
        <v>0.777124</v>
      </c>
      <c r="I770" t="n">
        <v>0.250846</v>
      </c>
      <c r="J770" t="n">
        <v>0.706976</v>
      </c>
      <c r="K770" t="n">
        <v>0.008253</v>
      </c>
      <c r="L770" t="n">
        <v>0.9</v>
      </c>
      <c r="M770" t="n">
        <v>0.331873</v>
      </c>
    </row>
    <row r="771">
      <c r="A771" t="inlineStr">
        <is>
          <t>clip-0.35-lr0.9</t>
        </is>
      </c>
      <c r="B771" t="n">
        <v>10</v>
      </c>
      <c r="C771" t="n">
        <v>0.292238</v>
      </c>
      <c r="D771" t="n">
        <v>0.882629</v>
      </c>
      <c r="E771" t="n">
        <v>0.305912</v>
      </c>
      <c r="F771" t="n">
        <v>0.30652</v>
      </c>
      <c r="G771" t="n">
        <v>0.878219</v>
      </c>
      <c r="H771" t="n">
        <v>0.800353</v>
      </c>
      <c r="I771" t="n">
        <v>0.25033</v>
      </c>
      <c r="J771" t="n">
        <v>0.472542</v>
      </c>
      <c r="K771" t="n">
        <v>0.006878</v>
      </c>
      <c r="L771" t="n">
        <v>0.9</v>
      </c>
      <c r="M771" t="n">
        <v>0.323617</v>
      </c>
    </row>
    <row r="772">
      <c r="A772" t="inlineStr">
        <is>
          <t>clip-0.35-lr0.9</t>
        </is>
      </c>
      <c r="B772" t="n">
        <v>11</v>
      </c>
      <c r="C772" t="n">
        <v>0.294013</v>
      </c>
      <c r="D772" t="n">
        <v>0.881908</v>
      </c>
      <c r="E772" t="n">
        <v>0.296341</v>
      </c>
      <c r="F772" t="n">
        <v>0.311149</v>
      </c>
      <c r="G772" t="n">
        <v>0.877595</v>
      </c>
      <c r="H772" t="n">
        <v>0.797395</v>
      </c>
      <c r="I772" t="n">
        <v>0.24557</v>
      </c>
      <c r="J772" t="n">
        <v>0.378509</v>
      </c>
      <c r="K772" t="n">
        <v>0.006878</v>
      </c>
      <c r="L772" t="n">
        <v>0.9</v>
      </c>
      <c r="M772" t="n">
        <v>0.32166</v>
      </c>
    </row>
    <row r="773">
      <c r="A773" t="inlineStr">
        <is>
          <t>clip-0.35-lr0.9</t>
        </is>
      </c>
      <c r="B773" t="n">
        <v>12</v>
      </c>
      <c r="C773" t="n">
        <v>0.287352</v>
      </c>
      <c r="D773" t="n">
        <v>0.8871869999999999</v>
      </c>
      <c r="E773" t="n">
        <v>0.300843</v>
      </c>
      <c r="F773" t="n">
        <v>0.303446</v>
      </c>
      <c r="G773" t="n">
        <v>0.882511</v>
      </c>
      <c r="H773" t="n">
        <v>0.751108</v>
      </c>
      <c r="I773" t="n">
        <v>0.251037</v>
      </c>
      <c r="J773" t="n">
        <v>0.690527</v>
      </c>
      <c r="K773" t="n">
        <v>0.01238</v>
      </c>
      <c r="L773" t="n">
        <v>0.9</v>
      </c>
      <c r="M773" t="n">
        <v>0.323842</v>
      </c>
    </row>
    <row r="774">
      <c r="A774" t="inlineStr">
        <is>
          <t>clip-0.35-lr0.9</t>
        </is>
      </c>
      <c r="B774" t="n">
        <v>13</v>
      </c>
      <c r="C774" t="n">
        <v>0.287536</v>
      </c>
      <c r="D774" t="n">
        <v>0.887602</v>
      </c>
      <c r="E774" t="n">
        <v>0.29223</v>
      </c>
      <c r="F774" t="n">
        <v>0.306145</v>
      </c>
      <c r="G774" t="n">
        <v>0.881758</v>
      </c>
      <c r="H774" t="n">
        <v>0.811545</v>
      </c>
      <c r="I774" t="n">
        <v>0.24631</v>
      </c>
      <c r="J774" t="n">
        <v>0.433502</v>
      </c>
      <c r="K774" t="n">
        <v>0.008253</v>
      </c>
      <c r="L774" t="n">
        <v>0.9</v>
      </c>
      <c r="M774" t="n">
        <v>0.322456</v>
      </c>
    </row>
    <row r="775">
      <c r="A775" t="inlineStr">
        <is>
          <t>clip-0.35-lr0.9</t>
        </is>
      </c>
      <c r="B775" t="n">
        <v>14</v>
      </c>
      <c r="C775" t="n">
        <v>0.276369</v>
      </c>
      <c r="D775" t="n">
        <v>0.889979</v>
      </c>
      <c r="E775" t="n">
        <v>0.285494</v>
      </c>
      <c r="F775" t="n">
        <v>0.296975</v>
      </c>
      <c r="G775" t="n">
        <v>0.883479</v>
      </c>
      <c r="H775" t="n">
        <v>0.808006</v>
      </c>
      <c r="I775" t="n">
        <v>0.246196</v>
      </c>
      <c r="J775" t="n">
        <v>0.403521</v>
      </c>
      <c r="K775" t="n">
        <v>0.009629</v>
      </c>
      <c r="L775" t="n">
        <v>0.9</v>
      </c>
      <c r="M775" t="n">
        <v>0.324449</v>
      </c>
    </row>
    <row r="776">
      <c r="A776" t="inlineStr">
        <is>
          <t>clip-0.35-lr0.9</t>
        </is>
      </c>
      <c r="B776" t="n">
        <v>15</v>
      </c>
      <c r="C776" t="n">
        <v>0.270299</v>
      </c>
      <c r="D776" t="n">
        <v>0.892899</v>
      </c>
      <c r="E776" t="n">
        <v>0.286451</v>
      </c>
      <c r="F776" t="n">
        <v>0.29171</v>
      </c>
      <c r="G776" t="n">
        <v>0.885889</v>
      </c>
      <c r="H776" t="n">
        <v>0.80526</v>
      </c>
      <c r="I776" t="n">
        <v>0.249003</v>
      </c>
      <c r="J776" t="n">
        <v>0.390935</v>
      </c>
      <c r="K776" t="n">
        <v>0.006878</v>
      </c>
      <c r="L776" t="n">
        <v>0.9</v>
      </c>
      <c r="M776" t="n">
        <v>0.320711</v>
      </c>
    </row>
    <row r="777">
      <c r="A777" t="inlineStr">
        <is>
          <t>clip-0.35-lr0.9</t>
        </is>
      </c>
      <c r="B777" t="n">
        <v>16</v>
      </c>
      <c r="C777" t="n">
        <v>0.288524</v>
      </c>
      <c r="D777" t="n">
        <v>0.889979</v>
      </c>
      <c r="E777" t="n">
        <v>0.283849</v>
      </c>
      <c r="F777" t="n">
        <v>0.310964</v>
      </c>
      <c r="G777" t="n">
        <v>0.884211</v>
      </c>
      <c r="H777" t="n">
        <v>0.8148609999999999</v>
      </c>
      <c r="I777" t="n">
        <v>0.248581</v>
      </c>
      <c r="J777" t="n">
        <v>0.497741</v>
      </c>
      <c r="K777" t="n">
        <v>0.004127</v>
      </c>
      <c r="L777" t="n">
        <v>0.9</v>
      </c>
      <c r="M777" t="n">
        <v>0.333114</v>
      </c>
    </row>
    <row r="778">
      <c r="A778" t="inlineStr">
        <is>
          <t>clip-0.35-lr0.9</t>
        </is>
      </c>
      <c r="B778" t="n">
        <v>17</v>
      </c>
      <c r="C778" t="n">
        <v>0.274907</v>
      </c>
      <c r="D778" t="n">
        <v>0.891665</v>
      </c>
      <c r="E778" t="n">
        <v>0.278053</v>
      </c>
      <c r="F778" t="n">
        <v>0.295801</v>
      </c>
      <c r="G778" t="n">
        <v>0.8859</v>
      </c>
      <c r="H778" t="n">
        <v>0.80161</v>
      </c>
      <c r="I778" t="n">
        <v>0.248259</v>
      </c>
      <c r="J778" t="n">
        <v>0.456452</v>
      </c>
      <c r="K778" t="n">
        <v>0.009629</v>
      </c>
      <c r="L778" t="n">
        <v>0.9</v>
      </c>
      <c r="M778" t="n">
        <v>0.323011</v>
      </c>
    </row>
    <row r="779">
      <c r="A779" t="inlineStr">
        <is>
          <t>clip-0.35-lr0.9</t>
        </is>
      </c>
      <c r="B779" t="n">
        <v>18</v>
      </c>
      <c r="C779" t="n">
        <v>0.274325</v>
      </c>
      <c r="D779" t="n">
        <v>0.891369</v>
      </c>
      <c r="E779" t="n">
        <v>0.277083</v>
      </c>
      <c r="F779" t="n">
        <v>0.297475</v>
      </c>
      <c r="G779" t="n">
        <v>0.885329</v>
      </c>
      <c r="H779" t="n">
        <v>0.819937</v>
      </c>
      <c r="I779" t="n">
        <v>0.247606</v>
      </c>
      <c r="J779" t="n">
        <v>0.569912</v>
      </c>
      <c r="K779" t="n">
        <v>0.006878</v>
      </c>
      <c r="L779" t="n">
        <v>0.9</v>
      </c>
      <c r="M779" t="n">
        <v>0.321201</v>
      </c>
    </row>
    <row r="780">
      <c r="A780" t="inlineStr">
        <is>
          <t>clip-0.35-lr0.9</t>
        </is>
      </c>
      <c r="B780" t="n">
        <v>19</v>
      </c>
      <c r="C780" t="n">
        <v>0.252408</v>
      </c>
      <c r="D780" t="n">
        <v>0.900994</v>
      </c>
      <c r="E780" t="n">
        <v>0.276663</v>
      </c>
      <c r="F780" t="n">
        <v>0.278462</v>
      </c>
      <c r="G780" t="n">
        <v>0.8937850000000001</v>
      </c>
      <c r="H780" t="n">
        <v>0.826337</v>
      </c>
      <c r="I780" t="n">
        <v>0.250021</v>
      </c>
      <c r="J780" t="n">
        <v>0.601579</v>
      </c>
      <c r="K780" t="n">
        <v>0.013755</v>
      </c>
      <c r="L780" t="n">
        <v>0.9</v>
      </c>
      <c r="M780" t="n">
        <v>0.323117</v>
      </c>
    </row>
    <row r="781">
      <c r="A781" t="inlineStr">
        <is>
          <t>clip-0.35-lr0.9</t>
        </is>
      </c>
      <c r="B781" t="n">
        <v>20</v>
      </c>
      <c r="C781" t="n">
        <v>0.255835</v>
      </c>
      <c r="D781" t="n">
        <v>0.900338</v>
      </c>
      <c r="E781" t="n">
        <v>0.26701</v>
      </c>
      <c r="F781" t="n">
        <v>0.28318</v>
      </c>
      <c r="G781" t="n">
        <v>0.891999</v>
      </c>
      <c r="H781" t="n">
        <v>0.825919</v>
      </c>
      <c r="I781" t="n">
        <v>0.242482</v>
      </c>
      <c r="J781" t="n">
        <v>0.426194</v>
      </c>
      <c r="K781" t="n">
        <v>0.008253</v>
      </c>
      <c r="L781" t="n">
        <v>0.9</v>
      </c>
      <c r="M781" t="n">
        <v>0.321994</v>
      </c>
    </row>
    <row r="782">
      <c r="A782" t="inlineStr">
        <is>
          <t>clip-none-lr3</t>
        </is>
      </c>
      <c r="B782" t="n">
        <v>1</v>
      </c>
      <c r="C782" t="n">
        <v>1.229308</v>
      </c>
      <c r="D782" t="n">
        <v>0.487598</v>
      </c>
      <c r="E782" t="n">
        <v>1.649142</v>
      </c>
      <c r="F782" t="n">
        <v>1.229309</v>
      </c>
      <c r="G782" t="n">
        <v>0.487597</v>
      </c>
      <c r="H782" t="n">
        <v>0.09365</v>
      </c>
      <c r="I782" t="n">
        <v>0.465304</v>
      </c>
      <c r="J782" t="n">
        <v>163.531479</v>
      </c>
      <c r="K782" t="n">
        <v>0</v>
      </c>
      <c r="L782" t="n">
        <v>3</v>
      </c>
      <c r="M782" t="n">
        <v>0.299793</v>
      </c>
    </row>
    <row r="783">
      <c r="A783" t="inlineStr">
        <is>
          <t>clip-none-lr3</t>
        </is>
      </c>
      <c r="B783" t="n">
        <v>2</v>
      </c>
      <c r="C783" t="n">
        <v>1.209149</v>
      </c>
      <c r="D783" t="n">
        <v>0.487598</v>
      </c>
      <c r="E783" t="n">
        <v>1.220714</v>
      </c>
      <c r="F783" t="n">
        <v>1.209153</v>
      </c>
      <c r="G783" t="n">
        <v>0.487597</v>
      </c>
      <c r="H783" t="n">
        <v>0.09365</v>
      </c>
      <c r="I783" t="n">
        <v>0.093093</v>
      </c>
      <c r="J783" t="n">
        <v>0.289315</v>
      </c>
      <c r="K783" t="n">
        <v>0</v>
      </c>
      <c r="L783" t="n">
        <v>3</v>
      </c>
      <c r="M783" t="n">
        <v>0.306088</v>
      </c>
    </row>
    <row r="784">
      <c r="A784" t="inlineStr">
        <is>
          <t>clip-none-lr3</t>
        </is>
      </c>
      <c r="B784" t="n">
        <v>3</v>
      </c>
      <c r="C784" t="n">
        <v>1.213012</v>
      </c>
      <c r="D784" t="n">
        <v>0.487598</v>
      </c>
      <c r="E784" t="n">
        <v>1.222246</v>
      </c>
      <c r="F784" t="n">
        <v>1.213011</v>
      </c>
      <c r="G784" t="n">
        <v>0.487597</v>
      </c>
      <c r="H784" t="n">
        <v>0.09365</v>
      </c>
      <c r="I784" t="n">
        <v>0.095112</v>
      </c>
      <c r="J784" t="n">
        <v>0.430638</v>
      </c>
      <c r="K784" t="n">
        <v>0</v>
      </c>
      <c r="L784" t="n">
        <v>3</v>
      </c>
      <c r="M784" t="n">
        <v>0.317108</v>
      </c>
    </row>
    <row r="785">
      <c r="A785" t="inlineStr">
        <is>
          <t>clip-none-lr3</t>
        </is>
      </c>
      <c r="B785" t="n">
        <v>4</v>
      </c>
      <c r="C785" t="n">
        <v>1.228081</v>
      </c>
      <c r="D785" t="n">
        <v>0.487598</v>
      </c>
      <c r="E785" t="n">
        <v>1.216172</v>
      </c>
      <c r="F785" t="n">
        <v>1.228088</v>
      </c>
      <c r="G785" t="n">
        <v>0.487597</v>
      </c>
      <c r="H785" t="n">
        <v>0.09365</v>
      </c>
      <c r="I785" t="n">
        <v>0.078495</v>
      </c>
      <c r="J785" t="n">
        <v>0.234182</v>
      </c>
      <c r="K785" t="n">
        <v>0</v>
      </c>
      <c r="L785" t="n">
        <v>3</v>
      </c>
      <c r="M785" t="n">
        <v>0.306834</v>
      </c>
    </row>
    <row r="786">
      <c r="A786" t="inlineStr">
        <is>
          <t>clip-none-lr3</t>
        </is>
      </c>
      <c r="B786" t="n">
        <v>5</v>
      </c>
      <c r="C786" t="n">
        <v>1.223021</v>
      </c>
      <c r="D786" t="n">
        <v>0.487598</v>
      </c>
      <c r="E786" t="n">
        <v>1.215031</v>
      </c>
      <c r="F786" t="n">
        <v>1.223021</v>
      </c>
      <c r="G786" t="n">
        <v>0.487597</v>
      </c>
      <c r="H786" t="n">
        <v>0.09365</v>
      </c>
      <c r="I786" t="n">
        <v>0.072244</v>
      </c>
      <c r="J786" t="n">
        <v>0.268914</v>
      </c>
      <c r="K786" t="n">
        <v>0</v>
      </c>
      <c r="L786" t="n">
        <v>3</v>
      </c>
      <c r="M786" t="n">
        <v>0.311368</v>
      </c>
    </row>
    <row r="787">
      <c r="A787" t="inlineStr">
        <is>
          <t>clip-none-lr3</t>
        </is>
      </c>
      <c r="B787" t="n">
        <v>6</v>
      </c>
      <c r="C787" t="n">
        <v>1.211809</v>
      </c>
      <c r="D787" t="n">
        <v>0.487598</v>
      </c>
      <c r="E787" t="n">
        <v>1.218125</v>
      </c>
      <c r="F787" t="n">
        <v>1.211812</v>
      </c>
      <c r="G787" t="n">
        <v>0.487597</v>
      </c>
      <c r="H787" t="n">
        <v>0.09365</v>
      </c>
      <c r="I787" t="n">
        <v>0.08454</v>
      </c>
      <c r="J787" t="n">
        <v>0.250943</v>
      </c>
      <c r="K787" t="n">
        <v>0</v>
      </c>
      <c r="L787" t="n">
        <v>3</v>
      </c>
      <c r="M787" t="n">
        <v>0.312955</v>
      </c>
    </row>
    <row r="788">
      <c r="A788" t="inlineStr">
        <is>
          <t>clip-none-lr3</t>
        </is>
      </c>
      <c r="B788" t="n">
        <v>7</v>
      </c>
      <c r="C788" t="n">
        <v>1.208142</v>
      </c>
      <c r="D788" t="n">
        <v>0.487598</v>
      </c>
      <c r="E788" t="n">
        <v>1.219171</v>
      </c>
      <c r="F788" t="n">
        <v>1.208145</v>
      </c>
      <c r="G788" t="n">
        <v>0.487597</v>
      </c>
      <c r="H788" t="n">
        <v>0.09365</v>
      </c>
      <c r="I788" t="n">
        <v>0.085637</v>
      </c>
      <c r="J788" t="n">
        <v>0.309914</v>
      </c>
      <c r="K788" t="n">
        <v>0</v>
      </c>
      <c r="L788" t="n">
        <v>3</v>
      </c>
      <c r="M788" t="n">
        <v>0.308332</v>
      </c>
    </row>
    <row r="789">
      <c r="A789" t="inlineStr">
        <is>
          <t>clip-none-lr3</t>
        </is>
      </c>
      <c r="B789" t="n">
        <v>8</v>
      </c>
      <c r="C789" t="n">
        <v>1.207772</v>
      </c>
      <c r="D789" t="n">
        <v>0.487598</v>
      </c>
      <c r="E789" t="n">
        <v>1.215834</v>
      </c>
      <c r="F789" t="n">
        <v>1.207775</v>
      </c>
      <c r="G789" t="n">
        <v>0.487597</v>
      </c>
      <c r="H789" t="n">
        <v>0.09365</v>
      </c>
      <c r="I789" t="n">
        <v>0.073916</v>
      </c>
      <c r="J789" t="n">
        <v>0.29389</v>
      </c>
      <c r="K789" t="n">
        <v>0</v>
      </c>
      <c r="L789" t="n">
        <v>3</v>
      </c>
      <c r="M789" t="n">
        <v>0.306785</v>
      </c>
    </row>
    <row r="790">
      <c r="A790" t="inlineStr">
        <is>
          <t>clip-none-lr3</t>
        </is>
      </c>
      <c r="B790" t="n">
        <v>9</v>
      </c>
      <c r="C790" t="n">
        <v>1.233446</v>
      </c>
      <c r="D790" t="n">
        <v>0.364607</v>
      </c>
      <c r="E790" t="n">
        <v>1.220739</v>
      </c>
      <c r="F790" t="n">
        <v>1.233452</v>
      </c>
      <c r="G790" t="n">
        <v>0.364601</v>
      </c>
      <c r="H790" t="n">
        <v>0.076339</v>
      </c>
      <c r="I790" t="n">
        <v>0.090382</v>
      </c>
      <c r="J790" t="n">
        <v>0.329711</v>
      </c>
      <c r="K790" t="n">
        <v>0</v>
      </c>
      <c r="L790" t="n">
        <v>3</v>
      </c>
      <c r="M790" t="n">
        <v>0.307253</v>
      </c>
    </row>
    <row r="791">
      <c r="A791" t="inlineStr">
        <is>
          <t>clip-none-lr3</t>
        </is>
      </c>
      <c r="B791" t="n">
        <v>10</v>
      </c>
      <c r="C791" t="n">
        <v>1.215978</v>
      </c>
      <c r="D791" t="n">
        <v>0.487598</v>
      </c>
      <c r="E791" t="n">
        <v>1.216071</v>
      </c>
      <c r="F791" t="n">
        <v>1.215986</v>
      </c>
      <c r="G791" t="n">
        <v>0.487597</v>
      </c>
      <c r="H791" t="n">
        <v>0.09365</v>
      </c>
      <c r="I791" t="n">
        <v>0.07735</v>
      </c>
      <c r="J791" t="n">
        <v>0.264349</v>
      </c>
      <c r="K791" t="n">
        <v>0</v>
      </c>
      <c r="L791" t="n">
        <v>3</v>
      </c>
      <c r="M791" t="n">
        <v>0.314943</v>
      </c>
    </row>
    <row r="792">
      <c r="A792" t="inlineStr">
        <is>
          <t>clip-none-lr3</t>
        </is>
      </c>
      <c r="B792" t="n">
        <v>11</v>
      </c>
      <c r="C792" t="n">
        <v>1.232425</v>
      </c>
      <c r="D792" t="n">
        <v>0.364607</v>
      </c>
      <c r="E792" t="n">
        <v>1.218504</v>
      </c>
      <c r="F792" t="n">
        <v>1.232427</v>
      </c>
      <c r="G792" t="n">
        <v>0.364601</v>
      </c>
      <c r="H792" t="n">
        <v>0.076339</v>
      </c>
      <c r="I792" t="n">
        <v>0.084814</v>
      </c>
      <c r="J792" t="n">
        <v>0.29052</v>
      </c>
      <c r="K792" t="n">
        <v>0</v>
      </c>
      <c r="L792" t="n">
        <v>3</v>
      </c>
      <c r="M792" t="n">
        <v>0.305341</v>
      </c>
    </row>
    <row r="793">
      <c r="A793" t="inlineStr">
        <is>
          <t>clip-none-lr3</t>
        </is>
      </c>
      <c r="B793" t="n">
        <v>12</v>
      </c>
      <c r="C793" t="n">
        <v>1.252754</v>
      </c>
      <c r="D793" t="n">
        <v>0.487598</v>
      </c>
      <c r="E793" t="n">
        <v>1.216601</v>
      </c>
      <c r="F793" t="n">
        <v>1.252756</v>
      </c>
      <c r="G793" t="n">
        <v>0.487597</v>
      </c>
      <c r="H793" t="n">
        <v>0.09365</v>
      </c>
      <c r="I793" t="n">
        <v>0.079126</v>
      </c>
      <c r="J793" t="n">
        <v>0.234207</v>
      </c>
      <c r="K793" t="n">
        <v>0</v>
      </c>
      <c r="L793" t="n">
        <v>3</v>
      </c>
      <c r="M793" t="n">
        <v>0.305616</v>
      </c>
    </row>
    <row r="794">
      <c r="A794" t="inlineStr">
        <is>
          <t>clip-none-lr3</t>
        </is>
      </c>
      <c r="B794" t="n">
        <v>13</v>
      </c>
      <c r="C794" t="n">
        <v>1.207686</v>
      </c>
      <c r="D794" t="n">
        <v>0.487598</v>
      </c>
      <c r="E794" t="n">
        <v>1.21643</v>
      </c>
      <c r="F794" t="n">
        <v>1.20769</v>
      </c>
      <c r="G794" t="n">
        <v>0.487597</v>
      </c>
      <c r="H794" t="n">
        <v>0.09365</v>
      </c>
      <c r="I794" t="n">
        <v>0.079981</v>
      </c>
      <c r="J794" t="n">
        <v>0.270804</v>
      </c>
      <c r="K794" t="n">
        <v>0</v>
      </c>
      <c r="L794" t="n">
        <v>3</v>
      </c>
      <c r="M794" t="n">
        <v>0.321479</v>
      </c>
    </row>
    <row r="795">
      <c r="A795" t="inlineStr">
        <is>
          <t>clip-none-lr3</t>
        </is>
      </c>
      <c r="B795" t="n">
        <v>14</v>
      </c>
      <c r="C795" t="n">
        <v>1.224357</v>
      </c>
      <c r="D795" t="n">
        <v>0.364607</v>
      </c>
      <c r="E795" t="n">
        <v>1.215643</v>
      </c>
      <c r="F795" t="n">
        <v>1.22436</v>
      </c>
      <c r="G795" t="n">
        <v>0.364601</v>
      </c>
      <c r="H795" t="n">
        <v>0.076339</v>
      </c>
      <c r="I795" t="n">
        <v>0.075833</v>
      </c>
      <c r="J795" t="n">
        <v>0.245085</v>
      </c>
      <c r="K795" t="n">
        <v>0</v>
      </c>
      <c r="L795" t="n">
        <v>3</v>
      </c>
      <c r="M795" t="n">
        <v>0.310681</v>
      </c>
    </row>
    <row r="796">
      <c r="A796" t="inlineStr">
        <is>
          <t>clip-none-lr3</t>
        </is>
      </c>
      <c r="B796" t="n">
        <v>15</v>
      </c>
      <c r="C796" t="n">
        <v>1.212818</v>
      </c>
      <c r="D796" t="n">
        <v>0.487598</v>
      </c>
      <c r="E796" t="n">
        <v>1.215232</v>
      </c>
      <c r="F796" t="n">
        <v>1.212819</v>
      </c>
      <c r="G796" t="n">
        <v>0.487597</v>
      </c>
      <c r="H796" t="n">
        <v>0.09365</v>
      </c>
      <c r="I796" t="n">
        <v>0.07391200000000001</v>
      </c>
      <c r="J796" t="n">
        <v>0.241822</v>
      </c>
      <c r="K796" t="n">
        <v>0</v>
      </c>
      <c r="L796" t="n">
        <v>3</v>
      </c>
      <c r="M796" t="n">
        <v>0.307346</v>
      </c>
    </row>
    <row r="797">
      <c r="A797" t="inlineStr">
        <is>
          <t>clip-none-lr3</t>
        </is>
      </c>
      <c r="B797" t="n">
        <v>16</v>
      </c>
      <c r="C797" t="n">
        <v>1.227701</v>
      </c>
      <c r="D797" t="n">
        <v>0.364607</v>
      </c>
      <c r="E797" t="n">
        <v>1.21816</v>
      </c>
      <c r="F797" t="n">
        <v>1.227702</v>
      </c>
      <c r="G797" t="n">
        <v>0.364601</v>
      </c>
      <c r="H797" t="n">
        <v>0.076339</v>
      </c>
      <c r="I797" t="n">
        <v>0.082788</v>
      </c>
      <c r="J797" t="n">
        <v>0.285977</v>
      </c>
      <c r="K797" t="n">
        <v>0</v>
      </c>
      <c r="L797" t="n">
        <v>3</v>
      </c>
      <c r="M797" t="n">
        <v>0.307028</v>
      </c>
    </row>
    <row r="798">
      <c r="A798" t="inlineStr">
        <is>
          <t>clip-none-lr3</t>
        </is>
      </c>
      <c r="B798" t="n">
        <v>17</v>
      </c>
      <c r="C798" t="n">
        <v>1.214233</v>
      </c>
      <c r="D798" t="n">
        <v>0.487598</v>
      </c>
      <c r="E798" t="n">
        <v>1.21695</v>
      </c>
      <c r="F798" t="n">
        <v>1.214241</v>
      </c>
      <c r="G798" t="n">
        <v>0.487597</v>
      </c>
      <c r="H798" t="n">
        <v>0.09365</v>
      </c>
      <c r="I798" t="n">
        <v>0.079191</v>
      </c>
      <c r="J798" t="n">
        <v>0.36648</v>
      </c>
      <c r="K798" t="n">
        <v>0</v>
      </c>
      <c r="L798" t="n">
        <v>3</v>
      </c>
      <c r="M798" t="n">
        <v>0.307425</v>
      </c>
    </row>
    <row r="799">
      <c r="A799" t="inlineStr">
        <is>
          <t>clip-none-lr3</t>
        </is>
      </c>
      <c r="B799" t="n">
        <v>18</v>
      </c>
      <c r="C799" t="n">
        <v>1.212639</v>
      </c>
      <c r="D799" t="n">
        <v>0.487598</v>
      </c>
      <c r="E799" t="n">
        <v>1.216978</v>
      </c>
      <c r="F799" t="n">
        <v>1.212637</v>
      </c>
      <c r="G799" t="n">
        <v>0.487597</v>
      </c>
      <c r="H799" t="n">
        <v>0.09365</v>
      </c>
      <c r="I799" t="n">
        <v>0.079239</v>
      </c>
      <c r="J799" t="n">
        <v>0.253647</v>
      </c>
      <c r="K799" t="n">
        <v>0</v>
      </c>
      <c r="L799" t="n">
        <v>3</v>
      </c>
      <c r="M799" t="n">
        <v>0.309015</v>
      </c>
    </row>
    <row r="800">
      <c r="A800" t="inlineStr">
        <is>
          <t>clip-none-lr3</t>
        </is>
      </c>
      <c r="B800" t="n">
        <v>19</v>
      </c>
      <c r="C800" t="n">
        <v>1.207175</v>
      </c>
      <c r="D800" t="n">
        <v>0.487598</v>
      </c>
      <c r="E800" t="n">
        <v>1.214878</v>
      </c>
      <c r="F800" t="n">
        <v>1.207175</v>
      </c>
      <c r="G800" t="n">
        <v>0.487597</v>
      </c>
      <c r="H800" t="n">
        <v>0.09365</v>
      </c>
      <c r="I800" t="n">
        <v>0.071299</v>
      </c>
      <c r="J800" t="n">
        <v>0.281113</v>
      </c>
      <c r="K800" t="n">
        <v>0</v>
      </c>
      <c r="L800" t="n">
        <v>3</v>
      </c>
      <c r="M800" t="n">
        <v>0.306599</v>
      </c>
    </row>
    <row r="801">
      <c r="A801" t="inlineStr">
        <is>
          <t>clip-none-lr3</t>
        </is>
      </c>
      <c r="B801" t="n">
        <v>20</v>
      </c>
      <c r="C801" t="n">
        <v>1.210364</v>
      </c>
      <c r="D801" t="n">
        <v>0.487598</v>
      </c>
      <c r="E801" t="n">
        <v>1.217759</v>
      </c>
      <c r="F801" t="n">
        <v>1.210365</v>
      </c>
      <c r="G801" t="n">
        <v>0.487597</v>
      </c>
      <c r="H801" t="n">
        <v>0.09365</v>
      </c>
      <c r="I801" t="n">
        <v>0.081037</v>
      </c>
      <c r="J801" t="n">
        <v>0.278072</v>
      </c>
      <c r="K801" t="n">
        <v>0</v>
      </c>
      <c r="L801" t="n">
        <v>3</v>
      </c>
      <c r="M801" t="n">
        <v>0.307816</v>
      </c>
    </row>
    <row r="802">
      <c r="A802" t="inlineStr">
        <is>
          <t>clip-0.35-lr3</t>
        </is>
      </c>
      <c r="B802" t="n">
        <v>1</v>
      </c>
      <c r="C802" t="n">
        <v>1.004581</v>
      </c>
      <c r="D802" t="n">
        <v>0.531415</v>
      </c>
      <c r="E802" t="n">
        <v>0.927496</v>
      </c>
      <c r="F802" t="n">
        <v>1.003458</v>
      </c>
      <c r="G802" t="n">
        <v>0.532282</v>
      </c>
      <c r="H802" t="n">
        <v>0.202417</v>
      </c>
      <c r="I802" t="n">
        <v>0.373816</v>
      </c>
      <c r="J802" t="n">
        <v>4.40266</v>
      </c>
      <c r="K802" t="n">
        <v>0.383769</v>
      </c>
      <c r="L802" t="n">
        <v>3</v>
      </c>
      <c r="M802" t="n">
        <v>0.316244</v>
      </c>
    </row>
    <row r="803">
      <c r="A803" t="inlineStr">
        <is>
          <t>clip-0.35-lr3</t>
        </is>
      </c>
      <c r="B803" t="n">
        <v>2</v>
      </c>
      <c r="C803" t="n">
        <v>0.9790140000000001</v>
      </c>
      <c r="D803" t="n">
        <v>0.491944</v>
      </c>
      <c r="E803" t="n">
        <v>0.977162</v>
      </c>
      <c r="F803" t="n">
        <v>0.979257</v>
      </c>
      <c r="G803" t="n">
        <v>0.492244</v>
      </c>
      <c r="H803" t="n">
        <v>0.14787</v>
      </c>
      <c r="I803" t="n">
        <v>0.243208</v>
      </c>
      <c r="J803" t="n">
        <v>1.217914</v>
      </c>
      <c r="K803" t="n">
        <v>0.130674</v>
      </c>
      <c r="L803" t="n">
        <v>3</v>
      </c>
      <c r="M803" t="n">
        <v>0.323802</v>
      </c>
    </row>
    <row r="804">
      <c r="A804" t="inlineStr">
        <is>
          <t>clip-0.35-lr3</t>
        </is>
      </c>
      <c r="B804" t="n">
        <v>3</v>
      </c>
      <c r="C804" t="n">
        <v>0.954283</v>
      </c>
      <c r="D804" t="n">
        <v>0.524407</v>
      </c>
      <c r="E804" t="n">
        <v>0.953865</v>
      </c>
      <c r="F804" t="n">
        <v>0.955063</v>
      </c>
      <c r="G804" t="n">
        <v>0.5249239999999999</v>
      </c>
      <c r="H804" t="n">
        <v>0.19307</v>
      </c>
      <c r="I804" t="n">
        <v>0.200588</v>
      </c>
      <c r="J804" t="n">
        <v>2.707941</v>
      </c>
      <c r="K804" t="n">
        <v>0.050894</v>
      </c>
      <c r="L804" t="n">
        <v>3</v>
      </c>
      <c r="M804" t="n">
        <v>0.323292</v>
      </c>
    </row>
    <row r="805">
      <c r="A805" t="inlineStr">
        <is>
          <t>clip-0.35-lr3</t>
        </is>
      </c>
      <c r="B805" t="n">
        <v>4</v>
      </c>
      <c r="C805" t="n">
        <v>0.9646749999999999</v>
      </c>
      <c r="D805" t="n">
        <v>0.527564</v>
      </c>
      <c r="E805" t="n">
        <v>0.962892</v>
      </c>
      <c r="F805" t="n">
        <v>0.965556</v>
      </c>
      <c r="G805" t="n">
        <v>0.527345</v>
      </c>
      <c r="H805" t="n">
        <v>0.195413</v>
      </c>
      <c r="I805" t="n">
        <v>0.230965</v>
      </c>
      <c r="J805" t="n">
        <v>2.046057</v>
      </c>
      <c r="K805" t="n">
        <v>0.097662</v>
      </c>
      <c r="L805" t="n">
        <v>3</v>
      </c>
      <c r="M805" t="n">
        <v>0.32325</v>
      </c>
    </row>
    <row r="806">
      <c r="A806" t="inlineStr">
        <is>
          <t>clip-0.35-lr3</t>
        </is>
      </c>
      <c r="B806" t="n">
        <v>5</v>
      </c>
      <c r="C806" t="n">
        <v>0.985047</v>
      </c>
      <c r="D806" t="n">
        <v>0.511092</v>
      </c>
      <c r="E806" t="n">
        <v>0.9909249999999999</v>
      </c>
      <c r="F806" t="n">
        <v>0.986876</v>
      </c>
      <c r="G806" t="n">
        <v>0.5108</v>
      </c>
      <c r="H806" t="n">
        <v>0.18363</v>
      </c>
      <c r="I806" t="n">
        <v>0.156503</v>
      </c>
      <c r="J806" t="n">
        <v>2.498494</v>
      </c>
      <c r="K806" t="n">
        <v>0.020633</v>
      </c>
      <c r="L806" t="n">
        <v>3</v>
      </c>
      <c r="M806" t="n">
        <v>0.322526</v>
      </c>
    </row>
    <row r="807">
      <c r="A807" t="inlineStr">
        <is>
          <t>clip-0.35-lr3</t>
        </is>
      </c>
      <c r="B807" t="n">
        <v>6</v>
      </c>
      <c r="C807" t="n">
        <v>0.992622</v>
      </c>
      <c r="D807" t="n">
        <v>0.5271169999999999</v>
      </c>
      <c r="E807" t="n">
        <v>0.993399</v>
      </c>
      <c r="F807" t="n">
        <v>0.99473</v>
      </c>
      <c r="G807" t="n">
        <v>0.526721</v>
      </c>
      <c r="H807" t="n">
        <v>0.194394</v>
      </c>
      <c r="I807" t="n">
        <v>0.148618</v>
      </c>
      <c r="J807" t="n">
        <v>1.315918</v>
      </c>
      <c r="K807" t="n">
        <v>0.009629</v>
      </c>
      <c r="L807" t="n">
        <v>3</v>
      </c>
      <c r="M807" t="n">
        <v>0.323063</v>
      </c>
    </row>
    <row r="808">
      <c r="A808" t="inlineStr">
        <is>
          <t>clip-0.35-lr3</t>
        </is>
      </c>
      <c r="B808" t="n">
        <v>7</v>
      </c>
      <c r="C808" t="n">
        <v>0.972737</v>
      </c>
      <c r="D808" t="n">
        <v>0.523766</v>
      </c>
      <c r="E808" t="n">
        <v>0.993893</v>
      </c>
      <c r="F808" t="n">
        <v>0.973588</v>
      </c>
      <c r="G808" t="n">
        <v>0.5236229999999999</v>
      </c>
      <c r="H808" t="n">
        <v>0.191849</v>
      </c>
      <c r="I808" t="n">
        <v>0.131219</v>
      </c>
      <c r="J808" t="n">
        <v>1.164735</v>
      </c>
      <c r="K808" t="n">
        <v>0.005502</v>
      </c>
      <c r="L808" t="n">
        <v>3</v>
      </c>
      <c r="M808" t="n">
        <v>0.322066</v>
      </c>
    </row>
    <row r="809">
      <c r="A809" t="inlineStr">
        <is>
          <t>clip-0.35-lr3</t>
        </is>
      </c>
      <c r="B809" t="n">
        <v>8</v>
      </c>
      <c r="C809" t="n">
        <v>0.985172</v>
      </c>
      <c r="D809" t="n">
        <v>0.487558</v>
      </c>
      <c r="E809" t="n">
        <v>0.995732</v>
      </c>
      <c r="F809" t="n">
        <v>0.986034</v>
      </c>
      <c r="G809" t="n">
        <v>0.487554</v>
      </c>
      <c r="H809" t="n">
        <v>0.093746</v>
      </c>
      <c r="I809" t="n">
        <v>0.136553</v>
      </c>
      <c r="J809" t="n">
        <v>0.64115</v>
      </c>
      <c r="K809" t="n">
        <v>0.005502</v>
      </c>
      <c r="L809" t="n">
        <v>3</v>
      </c>
      <c r="M809" t="n">
        <v>0.331577</v>
      </c>
    </row>
    <row r="810">
      <c r="A810" t="inlineStr">
        <is>
          <t>clip-0.35-lr3</t>
        </is>
      </c>
      <c r="B810" t="n">
        <v>9</v>
      </c>
      <c r="C810" t="n">
        <v>0.966781</v>
      </c>
      <c r="D810" t="n">
        <v>0.513561</v>
      </c>
      <c r="E810" t="n">
        <v>0.989267</v>
      </c>
      <c r="F810" t="n">
        <v>0.968195</v>
      </c>
      <c r="G810" t="n">
        <v>0.513608</v>
      </c>
      <c r="H810" t="n">
        <v>0.184933</v>
      </c>
      <c r="I810" t="n">
        <v>0.131641</v>
      </c>
      <c r="J810" t="n">
        <v>0.363278</v>
      </c>
      <c r="K810" t="n">
        <v>0.001376</v>
      </c>
      <c r="L810" t="n">
        <v>3</v>
      </c>
      <c r="M810" t="n">
        <v>0.332469</v>
      </c>
    </row>
    <row r="811">
      <c r="A811" t="inlineStr">
        <is>
          <t>clip-0.35-lr3</t>
        </is>
      </c>
      <c r="B811" t="n">
        <v>10</v>
      </c>
      <c r="C811" t="n">
        <v>0.97209</v>
      </c>
      <c r="D811" t="n">
        <v>0.524926</v>
      </c>
      <c r="E811" t="n">
        <v>0.991325</v>
      </c>
      <c r="F811" t="n">
        <v>0.971977</v>
      </c>
      <c r="G811" t="n">
        <v>0.525365</v>
      </c>
      <c r="H811" t="n">
        <v>0.193564</v>
      </c>
      <c r="I811" t="n">
        <v>0.13253</v>
      </c>
      <c r="J811" t="n">
        <v>0.703578</v>
      </c>
      <c r="K811" t="n">
        <v>0.004127</v>
      </c>
      <c r="L811" t="n">
        <v>3</v>
      </c>
      <c r="M811" t="n">
        <v>0.335137</v>
      </c>
    </row>
    <row r="812">
      <c r="A812" t="inlineStr">
        <is>
          <t>clip-0.35-lr3</t>
        </is>
      </c>
      <c r="B812" t="n">
        <v>11</v>
      </c>
      <c r="C812" t="n">
        <v>0.969969</v>
      </c>
      <c r="D812" t="n">
        <v>0.427071</v>
      </c>
      <c r="E812" t="n">
        <v>0.9863459999999999</v>
      </c>
      <c r="F812" t="n">
        <v>0.970045</v>
      </c>
      <c r="G812" t="n">
        <v>0.427486</v>
      </c>
      <c r="H812" t="n">
        <v>0.176064</v>
      </c>
      <c r="I812" t="n">
        <v>0.121118</v>
      </c>
      <c r="J812" t="n">
        <v>0.341939</v>
      </c>
      <c r="K812" t="n">
        <v>0</v>
      </c>
      <c r="L812" t="n">
        <v>3</v>
      </c>
      <c r="M812" t="n">
        <v>0.332251</v>
      </c>
    </row>
    <row r="813">
      <c r="A813" t="inlineStr">
        <is>
          <t>clip-0.35-lr3</t>
        </is>
      </c>
      <c r="B813" t="n">
        <v>12</v>
      </c>
      <c r="C813" t="n">
        <v>0.980117</v>
      </c>
      <c r="D813" t="n">
        <v>0.510745</v>
      </c>
      <c r="E813" t="n">
        <v>0.994971</v>
      </c>
      <c r="F813" t="n">
        <v>0.979526</v>
      </c>
      <c r="G813" t="n">
        <v>0.511467</v>
      </c>
      <c r="H813" t="n">
        <v>0.183646</v>
      </c>
      <c r="I813" t="n">
        <v>0.119473</v>
      </c>
      <c r="J813" t="n">
        <v>0.531936</v>
      </c>
      <c r="K813" t="n">
        <v>0.004127</v>
      </c>
      <c r="L813" t="n">
        <v>3</v>
      </c>
      <c r="M813" t="n">
        <v>0.323269</v>
      </c>
    </row>
    <row r="814">
      <c r="A814" t="inlineStr">
        <is>
          <t>clip-0.35-lr3</t>
        </is>
      </c>
      <c r="B814" t="n">
        <v>13</v>
      </c>
      <c r="C814" t="n">
        <v>0.978033</v>
      </c>
      <c r="D814" t="n">
        <v>0.526348</v>
      </c>
      <c r="E814" t="n">
        <v>0.993439</v>
      </c>
      <c r="F814" t="n">
        <v>0.97811</v>
      </c>
      <c r="G814" t="n">
        <v>0.5263330000000001</v>
      </c>
      <c r="H814" t="n">
        <v>0.194301</v>
      </c>
      <c r="I814" t="n">
        <v>0.140799</v>
      </c>
      <c r="J814" t="n">
        <v>0.827628</v>
      </c>
      <c r="K814" t="n">
        <v>0.009629</v>
      </c>
      <c r="L814" t="n">
        <v>3</v>
      </c>
      <c r="M814" t="n">
        <v>0.323911</v>
      </c>
    </row>
    <row r="815">
      <c r="A815" t="inlineStr">
        <is>
          <t>clip-0.35-lr3</t>
        </is>
      </c>
      <c r="B815" t="n">
        <v>14</v>
      </c>
      <c r="C815" t="n">
        <v>0.998546</v>
      </c>
      <c r="D815" t="n">
        <v>0.392987</v>
      </c>
      <c r="E815" t="n">
        <v>0.995539</v>
      </c>
      <c r="F815" t="n">
        <v>0.9988669999999999</v>
      </c>
      <c r="G815" t="n">
        <v>0.392978</v>
      </c>
      <c r="H815" t="n">
        <v>0.097535</v>
      </c>
      <c r="I815" t="n">
        <v>0.125101</v>
      </c>
      <c r="J815" t="n">
        <v>1.041249</v>
      </c>
      <c r="K815" t="n">
        <v>0.008253</v>
      </c>
      <c r="L815" t="n">
        <v>3</v>
      </c>
      <c r="M815" t="n">
        <v>0.325733</v>
      </c>
    </row>
    <row r="816">
      <c r="A816" t="inlineStr">
        <is>
          <t>clip-0.35-lr3</t>
        </is>
      </c>
      <c r="B816" t="n">
        <v>15</v>
      </c>
      <c r="C816" t="n">
        <v>1.000391</v>
      </c>
      <c r="D816" t="n">
        <v>0.487598</v>
      </c>
      <c r="E816" t="n">
        <v>0.993816</v>
      </c>
      <c r="F816" t="n">
        <v>1.001253</v>
      </c>
      <c r="G816" t="n">
        <v>0.487597</v>
      </c>
      <c r="H816" t="n">
        <v>0.09365</v>
      </c>
      <c r="I816" t="n">
        <v>0.127306</v>
      </c>
      <c r="J816" t="n">
        <v>0.676457</v>
      </c>
      <c r="K816" t="n">
        <v>0.002751</v>
      </c>
      <c r="L816" t="n">
        <v>3</v>
      </c>
      <c r="M816" t="n">
        <v>0.328156</v>
      </c>
    </row>
    <row r="817">
      <c r="A817" t="inlineStr">
        <is>
          <t>clip-0.35-lr3</t>
        </is>
      </c>
      <c r="B817" t="n">
        <v>16</v>
      </c>
      <c r="C817" t="n">
        <v>1.019822</v>
      </c>
      <c r="D817" t="n">
        <v>0.421684</v>
      </c>
      <c r="E817" t="n">
        <v>0.993653</v>
      </c>
      <c r="F817" t="n">
        <v>1.020237</v>
      </c>
      <c r="G817" t="n">
        <v>0.421581</v>
      </c>
      <c r="H817" t="n">
        <v>0.182594</v>
      </c>
      <c r="I817" t="n">
        <v>0.125345</v>
      </c>
      <c r="J817" t="n">
        <v>0.820429</v>
      </c>
      <c r="K817" t="n">
        <v>0.004127</v>
      </c>
      <c r="L817" t="n">
        <v>3</v>
      </c>
      <c r="M817" t="n">
        <v>0.323241</v>
      </c>
    </row>
    <row r="818">
      <c r="A818" t="inlineStr">
        <is>
          <t>clip-0.35-lr3</t>
        </is>
      </c>
      <c r="B818" t="n">
        <v>17</v>
      </c>
      <c r="C818" t="n">
        <v>0.972647</v>
      </c>
      <c r="D818" t="n">
        <v>0.515615</v>
      </c>
      <c r="E818" t="n">
        <v>0.995448</v>
      </c>
      <c r="F818" t="n">
        <v>0.973034</v>
      </c>
      <c r="G818" t="n">
        <v>0.516082</v>
      </c>
      <c r="H818" t="n">
        <v>0.186105</v>
      </c>
      <c r="I818" t="n">
        <v>0.127786</v>
      </c>
      <c r="J818" t="n">
        <v>0.416209</v>
      </c>
      <c r="K818" t="n">
        <v>0.004127</v>
      </c>
      <c r="L818" t="n">
        <v>3</v>
      </c>
      <c r="M818" t="n">
        <v>0.325872</v>
      </c>
    </row>
    <row r="819">
      <c r="A819" t="inlineStr">
        <is>
          <t>clip-0.35-lr3</t>
        </is>
      </c>
      <c r="B819" t="n">
        <v>18</v>
      </c>
      <c r="C819" t="n">
        <v>0.981538</v>
      </c>
      <c r="D819" t="n">
        <v>0.523473</v>
      </c>
      <c r="E819" t="n">
        <v>0.990506</v>
      </c>
      <c r="F819" t="n">
        <v>0.9817129999999999</v>
      </c>
      <c r="G819" t="n">
        <v>0.5239239999999999</v>
      </c>
      <c r="H819" t="n">
        <v>0.191551</v>
      </c>
      <c r="I819" t="n">
        <v>0.12742</v>
      </c>
      <c r="J819" t="n">
        <v>1.018421</v>
      </c>
      <c r="K819" t="n">
        <v>0.008253</v>
      </c>
      <c r="L819" t="n">
        <v>3</v>
      </c>
      <c r="M819" t="n">
        <v>0.320372</v>
      </c>
    </row>
    <row r="820">
      <c r="A820" t="inlineStr">
        <is>
          <t>clip-0.35-lr3</t>
        </is>
      </c>
      <c r="B820" t="n">
        <v>19</v>
      </c>
      <c r="C820" t="n">
        <v>0.966825</v>
      </c>
      <c r="D820" t="n">
        <v>0.517068</v>
      </c>
      <c r="E820" t="n">
        <v>0.985243</v>
      </c>
      <c r="F820" t="n">
        <v>0.969512</v>
      </c>
      <c r="G820" t="n">
        <v>0.516985</v>
      </c>
      <c r="H820" t="n">
        <v>0.18753</v>
      </c>
      <c r="I820" t="n">
        <v>0.126303</v>
      </c>
      <c r="J820" t="n">
        <v>1.072484</v>
      </c>
      <c r="K820" t="n">
        <v>0.002751</v>
      </c>
      <c r="L820" t="n">
        <v>3</v>
      </c>
      <c r="M820" t="n">
        <v>0.323237</v>
      </c>
    </row>
    <row r="821">
      <c r="A821" t="inlineStr">
        <is>
          <t>clip-0.35-lr3</t>
        </is>
      </c>
      <c r="B821" t="n">
        <v>20</v>
      </c>
      <c r="C821" t="n">
        <v>0.974139</v>
      </c>
      <c r="D821" t="n">
        <v>0.5226150000000001</v>
      </c>
      <c r="E821" t="n">
        <v>0.9809330000000001</v>
      </c>
      <c r="F821" t="n">
        <v>0.973094</v>
      </c>
      <c r="G821" t="n">
        <v>0.52288</v>
      </c>
      <c r="H821" t="n">
        <v>0.191225</v>
      </c>
      <c r="I821" t="n">
        <v>0.121998</v>
      </c>
      <c r="J821" t="n">
        <v>0.432616</v>
      </c>
      <c r="K821" t="n">
        <v>0.001376</v>
      </c>
      <c r="L821" t="n">
        <v>3</v>
      </c>
      <c r="M821" t="n">
        <v>0.328503</v>
      </c>
    </row>
    <row r="822">
      <c r="A822" t="inlineStr">
        <is>
          <t>amp-fp16</t>
        </is>
      </c>
      <c r="B822" t="n">
        <v>1</v>
      </c>
      <c r="C822" t="n">
        <v>0.432432</v>
      </c>
      <c r="D822" t="n">
        <v>0.815405</v>
      </c>
      <c r="E822" t="n">
        <v>0.5213179999999999</v>
      </c>
      <c r="F822" t="n">
        <v>0.436982</v>
      </c>
      <c r="G822" t="n">
        <v>0.813537</v>
      </c>
      <c r="H822" t="n">
        <v>0.632388</v>
      </c>
      <c r="I822" t="n">
        <v>0.389236</v>
      </c>
      <c r="J822" t="n">
        <v>2.870713</v>
      </c>
      <c r="K822" t="n">
        <v>0</v>
      </c>
      <c r="L822" t="n">
        <v>0.3</v>
      </c>
      <c r="M822" t="n">
        <v>0.65851</v>
      </c>
    </row>
    <row r="823">
      <c r="A823" t="inlineStr">
        <is>
          <t>amp-fp16</t>
        </is>
      </c>
      <c r="B823" t="n">
        <v>2</v>
      </c>
      <c r="C823" t="n">
        <v>0.388105</v>
      </c>
      <c r="D823" t="n">
        <v>0.8404160000000001</v>
      </c>
      <c r="E823" t="n">
        <v>0.405995</v>
      </c>
      <c r="F823" t="n">
        <v>0.395032</v>
      </c>
      <c r="G823" t="n">
        <v>0.8355669999999999</v>
      </c>
      <c r="H823" t="n">
        <v>0.722434</v>
      </c>
      <c r="I823" t="n">
        <v>0.368355</v>
      </c>
      <c r="J823" t="n">
        <v>0.644091</v>
      </c>
      <c r="K823" t="n">
        <v>0</v>
      </c>
      <c r="L823" t="n">
        <v>0.3</v>
      </c>
      <c r="M823" t="n">
        <v>0.610415</v>
      </c>
    </row>
    <row r="824">
      <c r="A824" t="inlineStr">
        <is>
          <t>amp-fp16</t>
        </is>
      </c>
      <c r="B824" t="n">
        <v>3</v>
      </c>
      <c r="C824" t="n">
        <v>0.358712</v>
      </c>
      <c r="D824" t="n">
        <v>0.855414</v>
      </c>
      <c r="E824" t="n">
        <v>0.361738</v>
      </c>
      <c r="F824" t="n">
        <v>0.368918</v>
      </c>
      <c r="G824" t="n">
        <v>0.85081</v>
      </c>
      <c r="H824" t="n">
        <v>0.73553</v>
      </c>
      <c r="I824" t="n">
        <v>0.369914</v>
      </c>
      <c r="J824" t="n">
        <v>0.689813</v>
      </c>
      <c r="K824" t="n">
        <v>0</v>
      </c>
      <c r="L824" t="n">
        <v>0.3</v>
      </c>
      <c r="M824" t="n">
        <v>0.9670840000000001</v>
      </c>
    </row>
    <row r="825">
      <c r="A825" t="inlineStr">
        <is>
          <t>amp-fp16</t>
        </is>
      </c>
      <c r="B825" t="n">
        <v>4</v>
      </c>
      <c r="C825" t="n">
        <v>0.324554</v>
      </c>
      <c r="D825" t="n">
        <v>0.86602</v>
      </c>
      <c r="E825" t="n">
        <v>0.335162</v>
      </c>
      <c r="F825" t="n">
        <v>0.334845</v>
      </c>
      <c r="G825" t="n">
        <v>0.861406</v>
      </c>
      <c r="H825" t="n">
        <v>0.775053</v>
      </c>
      <c r="I825" t="n">
        <v>0.367265</v>
      </c>
      <c r="J825" t="n">
        <v>0.592391</v>
      </c>
      <c r="K825" t="n">
        <v>0</v>
      </c>
      <c r="L825" t="n">
        <v>0.3</v>
      </c>
      <c r="M825" t="n">
        <v>0.613216</v>
      </c>
    </row>
    <row r="826">
      <c r="A826" t="inlineStr">
        <is>
          <t>amp-fp16</t>
        </is>
      </c>
      <c r="B826" t="n">
        <v>5</v>
      </c>
      <c r="C826" t="n">
        <v>0.303189</v>
      </c>
      <c r="D826" t="n">
        <v>0.875406</v>
      </c>
      <c r="E826" t="n">
        <v>0.313274</v>
      </c>
      <c r="F826" t="n">
        <v>0.313836</v>
      </c>
      <c r="G826" t="n">
        <v>0.869893</v>
      </c>
      <c r="H826" t="n">
        <v>0.791866</v>
      </c>
      <c r="I826" t="n">
        <v>0.363705</v>
      </c>
      <c r="J826" t="n">
        <v>0.77599</v>
      </c>
      <c r="K826" t="n">
        <v>0</v>
      </c>
      <c r="L826" t="n">
        <v>0.3</v>
      </c>
      <c r="M826" t="n">
        <v>0.663829</v>
      </c>
    </row>
    <row r="827">
      <c r="A827" t="inlineStr">
        <is>
          <t>amp-fp16</t>
        </is>
      </c>
      <c r="B827" t="n">
        <v>6</v>
      </c>
      <c r="C827" t="n">
        <v>0.292626</v>
      </c>
      <c r="D827" t="n">
        <v>0.87944</v>
      </c>
      <c r="E827" t="n">
        <v>0.298853</v>
      </c>
      <c r="F827" t="n">
        <v>0.305336</v>
      </c>
      <c r="G827" t="n">
        <v>0.875153</v>
      </c>
      <c r="H827" t="n">
        <v>0.80912</v>
      </c>
      <c r="I827" t="n">
        <v>0.36256</v>
      </c>
      <c r="J827" t="n">
        <v>0.706463</v>
      </c>
      <c r="K827" t="n">
        <v>0</v>
      </c>
      <c r="L827" t="n">
        <v>0.3</v>
      </c>
      <c r="M827" t="n">
        <v>0.611242</v>
      </c>
    </row>
    <row r="828">
      <c r="A828" t="inlineStr">
        <is>
          <t>amp-fp16</t>
        </is>
      </c>
      <c r="B828" t="n">
        <v>7</v>
      </c>
      <c r="C828" t="n">
        <v>0.290731</v>
      </c>
      <c r="D828" t="n">
        <v>0.8798</v>
      </c>
      <c r="E828" t="n">
        <v>0.286023</v>
      </c>
      <c r="F828" t="n">
        <v>0.304028</v>
      </c>
      <c r="G828" t="n">
        <v>0.874239</v>
      </c>
      <c r="H828" t="n">
        <v>0.795067</v>
      </c>
      <c r="I828" t="n">
        <v>0.361129</v>
      </c>
      <c r="J828" t="n">
        <v>0.562346</v>
      </c>
      <c r="K828" t="n">
        <v>0</v>
      </c>
      <c r="L828" t="n">
        <v>0.3</v>
      </c>
      <c r="M828" t="n">
        <v>0.623964</v>
      </c>
    </row>
    <row r="829">
      <c r="A829" t="inlineStr">
        <is>
          <t>amp-fp16</t>
        </is>
      </c>
      <c r="B829" t="n">
        <v>8</v>
      </c>
      <c r="C829" t="n">
        <v>0.290051</v>
      </c>
      <c r="D829" t="n">
        <v>0.881231</v>
      </c>
      <c r="E829" t="n">
        <v>0.275357</v>
      </c>
      <c r="F829" t="n">
        <v>0.304558</v>
      </c>
      <c r="G829" t="n">
        <v>0.876261</v>
      </c>
      <c r="H829" t="n">
        <v>0.810213</v>
      </c>
      <c r="I829" t="n">
        <v>0.351726</v>
      </c>
      <c r="J829" t="n">
        <v>0.64227</v>
      </c>
      <c r="K829" t="n">
        <v>0</v>
      </c>
      <c r="L829" t="n">
        <v>0.3</v>
      </c>
      <c r="M829" t="n">
        <v>0.616709</v>
      </c>
    </row>
    <row r="830">
      <c r="A830" t="inlineStr">
        <is>
          <t>amp-fp16</t>
        </is>
      </c>
      <c r="B830" t="n">
        <v>9</v>
      </c>
      <c r="C830" t="n">
        <v>0.251715</v>
      </c>
      <c r="D830" t="n">
        <v>0.896527</v>
      </c>
      <c r="E830" t="n">
        <v>0.265624</v>
      </c>
      <c r="F830" t="n">
        <v>0.270055</v>
      </c>
      <c r="G830" t="n">
        <v>0.890138</v>
      </c>
      <c r="H830" t="n">
        <v>0.82185</v>
      </c>
      <c r="I830" t="n">
        <v>0.352508</v>
      </c>
      <c r="J830" t="n">
        <v>0.702147</v>
      </c>
      <c r="K830" t="n">
        <v>0</v>
      </c>
      <c r="L830" t="n">
        <v>0.3</v>
      </c>
      <c r="M830" t="n">
        <v>0.607887</v>
      </c>
    </row>
    <row r="831">
      <c r="A831" t="inlineStr">
        <is>
          <t>amp-fp16</t>
        </is>
      </c>
      <c r="B831" t="n">
        <v>10</v>
      </c>
      <c r="C831" t="n">
        <v>0.254847</v>
      </c>
      <c r="D831" t="n">
        <v>0.8975919999999999</v>
      </c>
      <c r="E831" t="n">
        <v>0.257922</v>
      </c>
      <c r="F831" t="n">
        <v>0.270829</v>
      </c>
      <c r="G831" t="n">
        <v>0.891891</v>
      </c>
      <c r="H831" t="n">
        <v>0.8200730000000001</v>
      </c>
      <c r="I831" t="n">
        <v>0.35144</v>
      </c>
      <c r="J831" t="n">
        <v>0.59972</v>
      </c>
      <c r="K831" t="n">
        <v>0</v>
      </c>
      <c r="L831" t="n">
        <v>0.3</v>
      </c>
      <c r="M831" t="n">
        <v>0.621191</v>
      </c>
    </row>
    <row r="832">
      <c r="A832" t="inlineStr">
        <is>
          <t>amp-fp16</t>
        </is>
      </c>
      <c r="B832" t="n">
        <v>11</v>
      </c>
      <c r="C832" t="n">
        <v>0.235322</v>
      </c>
      <c r="D832" t="n">
        <v>0.904396</v>
      </c>
      <c r="E832" t="n">
        <v>0.249106</v>
      </c>
      <c r="F832" t="n">
        <v>0.255488</v>
      </c>
      <c r="G832" t="n">
        <v>0.897313</v>
      </c>
      <c r="H832" t="n">
        <v>0.830327</v>
      </c>
      <c r="I832" t="n">
        <v>0.348592</v>
      </c>
      <c r="J832" t="n">
        <v>0.642288</v>
      </c>
      <c r="K832" t="n">
        <v>0</v>
      </c>
      <c r="L832" t="n">
        <v>0.3</v>
      </c>
      <c r="M832" t="n">
        <v>0.617805</v>
      </c>
    </row>
    <row r="833">
      <c r="A833" t="inlineStr">
        <is>
          <t>amp-fp16</t>
        </is>
      </c>
      <c r="B833" t="n">
        <v>12</v>
      </c>
      <c r="C833" t="n">
        <v>0.245651</v>
      </c>
      <c r="D833" t="n">
        <v>0.901702</v>
      </c>
      <c r="E833" t="n">
        <v>0.241875</v>
      </c>
      <c r="F833" t="n">
        <v>0.267652</v>
      </c>
      <c r="G833" t="n">
        <v>0.892946</v>
      </c>
      <c r="H833" t="n">
        <v>0.830697</v>
      </c>
      <c r="I833" t="n">
        <v>0.345036</v>
      </c>
      <c r="J833" t="n">
        <v>0.821424</v>
      </c>
      <c r="K833" t="n">
        <v>0</v>
      </c>
      <c r="L833" t="n">
        <v>0.3</v>
      </c>
      <c r="M833" t="n">
        <v>0.70572</v>
      </c>
    </row>
    <row r="834">
      <c r="A834" t="inlineStr">
        <is>
          <t>amp-fp16</t>
        </is>
      </c>
      <c r="B834" t="n">
        <v>13</v>
      </c>
      <c r="C834" t="n">
        <v>0.232492</v>
      </c>
      <c r="D834" t="n">
        <v>0.905983</v>
      </c>
      <c r="E834" t="n">
        <v>0.238276</v>
      </c>
      <c r="F834" t="n">
        <v>0.253815</v>
      </c>
      <c r="G834" t="n">
        <v>0.899335</v>
      </c>
      <c r="H834" t="n">
        <v>0.843774</v>
      </c>
      <c r="I834" t="n">
        <v>0.34673</v>
      </c>
      <c r="J834" t="n">
        <v>0.6131</v>
      </c>
      <c r="K834" t="n">
        <v>0</v>
      </c>
      <c r="L834" t="n">
        <v>0.3</v>
      </c>
      <c r="M834" t="n">
        <v>0.613001</v>
      </c>
    </row>
    <row r="835">
      <c r="A835" t="inlineStr">
        <is>
          <t>amp-fp16</t>
        </is>
      </c>
      <c r="B835" t="n">
        <v>14</v>
      </c>
      <c r="C835" t="n">
        <v>0.223863</v>
      </c>
      <c r="D835" t="n">
        <v>0.909675</v>
      </c>
      <c r="E835" t="n">
        <v>0.232855</v>
      </c>
      <c r="F835" t="n">
        <v>0.24685</v>
      </c>
      <c r="G835" t="n">
        <v>0.9013679999999999</v>
      </c>
      <c r="H835" t="n">
        <v>0.837488</v>
      </c>
      <c r="I835" t="n">
        <v>0.343988</v>
      </c>
      <c r="J835" t="n">
        <v>0.561297</v>
      </c>
      <c r="K835" t="n">
        <v>0</v>
      </c>
      <c r="L835" t="n">
        <v>0.3</v>
      </c>
      <c r="M835" t="n">
        <v>0.623995</v>
      </c>
    </row>
    <row r="836">
      <c r="A836" t="inlineStr">
        <is>
          <t>amp-fp16</t>
        </is>
      </c>
      <c r="B836" t="n">
        <v>15</v>
      </c>
      <c r="C836" t="n">
        <v>0.208972</v>
      </c>
      <c r="D836" t="n">
        <v>0.9151049999999999</v>
      </c>
      <c r="E836" t="n">
        <v>0.229857</v>
      </c>
      <c r="F836" t="n">
        <v>0.230917</v>
      </c>
      <c r="G836" t="n">
        <v>0.907683</v>
      </c>
      <c r="H836" t="n">
        <v>0.8466630000000001</v>
      </c>
      <c r="I836" t="n">
        <v>0.345697</v>
      </c>
      <c r="J836" t="n">
        <v>0.61281</v>
      </c>
      <c r="K836" t="n">
        <v>0</v>
      </c>
      <c r="L836" t="n">
        <v>0.3</v>
      </c>
      <c r="M836" t="n">
        <v>0.610702</v>
      </c>
    </row>
    <row r="837">
      <c r="A837" t="inlineStr">
        <is>
          <t>amp-fp16</t>
        </is>
      </c>
      <c r="B837" t="n">
        <v>16</v>
      </c>
      <c r="C837" t="n">
        <v>0.22498</v>
      </c>
      <c r="D837" t="n">
        <v>0.909613</v>
      </c>
      <c r="E837" t="n">
        <v>0.225273</v>
      </c>
      <c r="F837" t="n">
        <v>0.24824</v>
      </c>
      <c r="G837" t="n">
        <v>0.901562</v>
      </c>
      <c r="H837" t="n">
        <v>0.851034</v>
      </c>
      <c r="I837" t="n">
        <v>0.343125</v>
      </c>
      <c r="J837" t="n">
        <v>0.539519</v>
      </c>
      <c r="K837" t="n">
        <v>0</v>
      </c>
      <c r="L837" t="n">
        <v>0.3</v>
      </c>
      <c r="M837" t="n">
        <v>0.622935</v>
      </c>
    </row>
    <row r="838">
      <c r="A838" t="inlineStr">
        <is>
          <t>amp-fp16</t>
        </is>
      </c>
      <c r="B838" t="n">
        <v>17</v>
      </c>
      <c r="C838" t="n">
        <v>0.208663</v>
      </c>
      <c r="D838" t="n">
        <v>0.915826</v>
      </c>
      <c r="E838" t="n">
        <v>0.222603</v>
      </c>
      <c r="F838" t="n">
        <v>0.23206</v>
      </c>
      <c r="G838" t="n">
        <v>0.908511</v>
      </c>
      <c r="H838" t="n">
        <v>0.8508790000000001</v>
      </c>
      <c r="I838" t="n">
        <v>0.345326</v>
      </c>
      <c r="J838" t="n">
        <v>0.635858</v>
      </c>
      <c r="K838" t="n">
        <v>0</v>
      </c>
      <c r="L838" t="n">
        <v>0.3</v>
      </c>
      <c r="M838" t="n">
        <v>0.624161</v>
      </c>
    </row>
    <row r="839">
      <c r="A839" t="inlineStr">
        <is>
          <t>amp-fp16</t>
        </is>
      </c>
      <c r="B839" t="n">
        <v>18</v>
      </c>
      <c r="C839" t="n">
        <v>0.212142</v>
      </c>
      <c r="D839" t="n">
        <v>0.915721</v>
      </c>
      <c r="E839" t="n">
        <v>0.217833</v>
      </c>
      <c r="F839" t="n">
        <v>0.234682</v>
      </c>
      <c r="G839" t="n">
        <v>0.908844</v>
      </c>
      <c r="H839" t="n">
        <v>0.8555199999999999</v>
      </c>
      <c r="I839" t="n">
        <v>0.341756</v>
      </c>
      <c r="J839" t="n">
        <v>0.760006</v>
      </c>
      <c r="K839" t="n">
        <v>0</v>
      </c>
      <c r="L839" t="n">
        <v>0.3</v>
      </c>
      <c r="M839" t="n">
        <v>0.614329</v>
      </c>
    </row>
    <row r="840">
      <c r="A840" t="inlineStr">
        <is>
          <t>amp-fp16</t>
        </is>
      </c>
      <c r="B840" t="n">
        <v>19</v>
      </c>
      <c r="C840" t="n">
        <v>0.213903</v>
      </c>
      <c r="D840" t="n">
        <v>0.913357</v>
      </c>
      <c r="E840" t="n">
        <v>0.215261</v>
      </c>
      <c r="F840" t="n">
        <v>0.238579</v>
      </c>
      <c r="G840" t="n">
        <v>0.907037</v>
      </c>
      <c r="H840" t="n">
        <v>0.8575120000000001</v>
      </c>
      <c r="I840" t="n">
        <v>0.341568</v>
      </c>
      <c r="J840" t="n">
        <v>0.83067</v>
      </c>
      <c r="K840" t="n">
        <v>0</v>
      </c>
      <c r="L840" t="n">
        <v>0.3</v>
      </c>
      <c r="M840" t="n">
        <v>0.6403219999999999</v>
      </c>
    </row>
    <row r="841">
      <c r="A841" t="inlineStr">
        <is>
          <t>amp-fp16</t>
        </is>
      </c>
      <c r="B841" t="n">
        <v>20</v>
      </c>
      <c r="C841" t="n">
        <v>0.209636</v>
      </c>
      <c r="D841" t="n">
        <v>0.914723</v>
      </c>
      <c r="E841" t="n">
        <v>0.212453</v>
      </c>
      <c r="F841" t="n">
        <v>0.235655</v>
      </c>
      <c r="G841" t="n">
        <v>0.906435</v>
      </c>
      <c r="H841" t="n">
        <v>0.848479</v>
      </c>
      <c r="I841" t="n">
        <v>0.340296</v>
      </c>
      <c r="J841" t="n">
        <v>0.560741</v>
      </c>
      <c r="K841" t="n">
        <v>0</v>
      </c>
      <c r="L841" t="n">
        <v>0.3</v>
      </c>
      <c r="M841" t="n">
        <v>0.610882</v>
      </c>
    </row>
    <row r="842">
      <c r="A842" t="inlineStr">
        <is>
          <t>amp-bf16</t>
        </is>
      </c>
      <c r="B842" t="n">
        <v>1</v>
      </c>
      <c r="C842" t="n">
        <v>0.433302</v>
      </c>
      <c r="D842" t="n">
        <v>0.816333</v>
      </c>
      <c r="E842" t="n">
        <v>0.5217850000000001</v>
      </c>
      <c r="F842" t="n">
        <v>0.438263</v>
      </c>
      <c r="G842" t="n">
        <v>0.815064</v>
      </c>
      <c r="H842" t="n">
        <v>0.680803</v>
      </c>
      <c r="I842" t="n">
        <v>0.38984</v>
      </c>
      <c r="J842" t="n">
        <v>2.869987</v>
      </c>
      <c r="K842" t="n">
        <v>0</v>
      </c>
      <c r="L842" t="n">
        <v>0.3</v>
      </c>
      <c r="M842" t="n">
        <v>0.364314</v>
      </c>
    </row>
    <row r="843">
      <c r="A843" t="inlineStr">
        <is>
          <t>amp-bf16</t>
        </is>
      </c>
      <c r="B843" t="n">
        <v>2</v>
      </c>
      <c r="C843" t="n">
        <v>0.38472</v>
      </c>
      <c r="D843" t="n">
        <v>0.8395820000000001</v>
      </c>
      <c r="E843" t="n">
        <v>0.404974</v>
      </c>
      <c r="F843" t="n">
        <v>0.392948</v>
      </c>
      <c r="G843" t="n">
        <v>0.835137</v>
      </c>
      <c r="H843" t="n">
        <v>0.717781</v>
      </c>
      <c r="I843" t="n">
        <v>0.371447</v>
      </c>
      <c r="J843" t="n">
        <v>0.7010690000000001</v>
      </c>
      <c r="K843" t="n">
        <v>0</v>
      </c>
      <c r="L843" t="n">
        <v>0.3</v>
      </c>
      <c r="M843" t="n">
        <v>0.344215</v>
      </c>
    </row>
    <row r="844">
      <c r="A844" t="inlineStr">
        <is>
          <t>amp-bf16</t>
        </is>
      </c>
      <c r="B844" t="n">
        <v>3</v>
      </c>
      <c r="C844" t="n">
        <v>0.3544</v>
      </c>
      <c r="D844" t="n">
        <v>0.85699</v>
      </c>
      <c r="E844" t="n">
        <v>0.360225</v>
      </c>
      <c r="F844" t="n">
        <v>0.363772</v>
      </c>
      <c r="G844" t="n">
        <v>0.852822</v>
      </c>
      <c r="H844" t="n">
        <v>0.728225</v>
      </c>
      <c r="I844" t="n">
        <v>0.368216</v>
      </c>
      <c r="J844" t="n">
        <v>0.654855</v>
      </c>
      <c r="K844" t="n">
        <v>0</v>
      </c>
      <c r="L844" t="n">
        <v>0.3</v>
      </c>
      <c r="M844" t="n">
        <v>0.344859</v>
      </c>
    </row>
    <row r="845">
      <c r="A845" t="inlineStr">
        <is>
          <t>amp-bf16</t>
        </is>
      </c>
      <c r="B845" t="n">
        <v>4</v>
      </c>
      <c r="C845" t="n">
        <v>0.315658</v>
      </c>
      <c r="D845" t="n">
        <v>0.8705619999999999</v>
      </c>
      <c r="E845" t="n">
        <v>0.332607</v>
      </c>
      <c r="F845" t="n">
        <v>0.325107</v>
      </c>
      <c r="G845" t="n">
        <v>0.8660099999999999</v>
      </c>
      <c r="H845" t="n">
        <v>0.774357</v>
      </c>
      <c r="I845" t="n">
        <v>0.365247</v>
      </c>
      <c r="J845" t="n">
        <v>0.571733</v>
      </c>
      <c r="K845" t="n">
        <v>0</v>
      </c>
      <c r="L845" t="n">
        <v>0.3</v>
      </c>
      <c r="M845" t="n">
        <v>0.350991</v>
      </c>
    </row>
    <row r="846">
      <c r="A846" t="inlineStr">
        <is>
          <t>amp-bf16</t>
        </is>
      </c>
      <c r="B846" t="n">
        <v>5</v>
      </c>
      <c r="C846" t="n">
        <v>0.294538</v>
      </c>
      <c r="D846" t="n">
        <v>0.879184</v>
      </c>
      <c r="E846" t="n">
        <v>0.311017</v>
      </c>
      <c r="F846" t="n">
        <v>0.303759</v>
      </c>
      <c r="G846" t="n">
        <v>0.87454</v>
      </c>
      <c r="H846" t="n">
        <v>0.799194</v>
      </c>
      <c r="I846" t="n">
        <v>0.362582</v>
      </c>
      <c r="J846" t="n">
        <v>0.657969</v>
      </c>
      <c r="K846" t="n">
        <v>0</v>
      </c>
      <c r="L846" t="n">
        <v>0.3</v>
      </c>
      <c r="M846" t="n">
        <v>0.352518</v>
      </c>
    </row>
    <row r="847">
      <c r="A847" t="inlineStr">
        <is>
          <t>amp-bf16</t>
        </is>
      </c>
      <c r="B847" t="n">
        <v>6</v>
      </c>
      <c r="C847" t="n">
        <v>0.291715</v>
      </c>
      <c r="D847" t="n">
        <v>0.882758</v>
      </c>
      <c r="E847" t="n">
        <v>0.29412</v>
      </c>
      <c r="F847" t="n">
        <v>0.305236</v>
      </c>
      <c r="G847" t="n">
        <v>0.877434</v>
      </c>
      <c r="H847" t="n">
        <v>0.812561</v>
      </c>
      <c r="I847" t="n">
        <v>0.360123</v>
      </c>
      <c r="J847" t="n">
        <v>0.609151</v>
      </c>
      <c r="K847" t="n">
        <v>0</v>
      </c>
      <c r="L847" t="n">
        <v>0.3</v>
      </c>
      <c r="M847" t="n">
        <v>0.348014</v>
      </c>
    </row>
    <row r="848">
      <c r="A848" t="inlineStr">
        <is>
          <t>amp-bf16</t>
        </is>
      </c>
      <c r="B848" t="n">
        <v>7</v>
      </c>
      <c r="C848" t="n">
        <v>0.29045</v>
      </c>
      <c r="D848" t="n">
        <v>0.8844689999999999</v>
      </c>
      <c r="E848" t="n">
        <v>0.282782</v>
      </c>
      <c r="F848" t="n">
        <v>0.303772</v>
      </c>
      <c r="G848" t="n">
        <v>0.878864</v>
      </c>
      <c r="H848" t="n">
        <v>0.795625</v>
      </c>
      <c r="I848" t="n">
        <v>0.359833</v>
      </c>
      <c r="J848" t="n">
        <v>0.569475</v>
      </c>
      <c r="K848" t="n">
        <v>0</v>
      </c>
      <c r="L848" t="n">
        <v>0.3</v>
      </c>
      <c r="M848" t="n">
        <v>0.342853</v>
      </c>
    </row>
    <row r="849">
      <c r="A849" t="inlineStr">
        <is>
          <t>amp-bf16</t>
        </is>
      </c>
      <c r="B849" t="n">
        <v>8</v>
      </c>
      <c r="C849" t="n">
        <v>0.263635</v>
      </c>
      <c r="D849" t="n">
        <v>0.892824</v>
      </c>
      <c r="E849" t="n">
        <v>0.272122</v>
      </c>
      <c r="F849" t="n">
        <v>0.278614</v>
      </c>
      <c r="G849" t="n">
        <v>0.887169</v>
      </c>
      <c r="H849" t="n">
        <v>0.822789</v>
      </c>
      <c r="I849" t="n">
        <v>0.354618</v>
      </c>
      <c r="J849" t="n">
        <v>0.715717</v>
      </c>
      <c r="K849" t="n">
        <v>0</v>
      </c>
      <c r="L849" t="n">
        <v>0.3</v>
      </c>
      <c r="M849" t="n">
        <v>0.340473</v>
      </c>
    </row>
    <row r="850">
      <c r="A850" t="inlineStr">
        <is>
          <t>amp-bf16</t>
        </is>
      </c>
      <c r="B850" t="n">
        <v>9</v>
      </c>
      <c r="C850" t="n">
        <v>0.251473</v>
      </c>
      <c r="D850" t="n">
        <v>0.8971</v>
      </c>
      <c r="E850" t="n">
        <v>0.261985</v>
      </c>
      <c r="F850" t="n">
        <v>0.268915</v>
      </c>
      <c r="G850" t="n">
        <v>0.890385</v>
      </c>
      <c r="H850" t="n">
        <v>0.815873</v>
      </c>
      <c r="I850" t="n">
        <v>0.355285</v>
      </c>
      <c r="J850" t="n">
        <v>0.575252</v>
      </c>
      <c r="K850" t="n">
        <v>0</v>
      </c>
      <c r="L850" t="n">
        <v>0.3</v>
      </c>
      <c r="M850" t="n">
        <v>0.352948</v>
      </c>
    </row>
    <row r="851">
      <c r="A851" t="inlineStr">
        <is>
          <t>amp-bf16</t>
        </is>
      </c>
      <c r="B851" t="n">
        <v>10</v>
      </c>
      <c r="C851" t="n">
        <v>0.247841</v>
      </c>
      <c r="D851" t="n">
        <v>0.9006690000000001</v>
      </c>
      <c r="E851" t="n">
        <v>0.254461</v>
      </c>
      <c r="F851" t="n">
        <v>0.263092</v>
      </c>
      <c r="G851" t="n">
        <v>0.895516</v>
      </c>
      <c r="H851" t="n">
        <v>0.824146</v>
      </c>
      <c r="I851" t="n">
        <v>0.351111</v>
      </c>
      <c r="J851" t="n">
        <v>0.634432</v>
      </c>
      <c r="K851" t="n">
        <v>0</v>
      </c>
      <c r="L851" t="n">
        <v>0.3</v>
      </c>
      <c r="M851" t="n">
        <v>0.344026</v>
      </c>
    </row>
    <row r="852">
      <c r="A852" t="inlineStr">
        <is>
          <t>amp-bf16</t>
        </is>
      </c>
      <c r="B852" t="n">
        <v>11</v>
      </c>
      <c r="C852" t="n">
        <v>0.239765</v>
      </c>
      <c r="D852" t="n">
        <v>0.902124</v>
      </c>
      <c r="E852" t="n">
        <v>0.244568</v>
      </c>
      <c r="F852" t="n">
        <v>0.259465</v>
      </c>
      <c r="G852" t="n">
        <v>0.895732</v>
      </c>
      <c r="H852" t="n">
        <v>0.829942</v>
      </c>
      <c r="I852" t="n">
        <v>0.347859</v>
      </c>
      <c r="J852" t="n">
        <v>0.582079</v>
      </c>
      <c r="K852" t="n">
        <v>0</v>
      </c>
      <c r="L852" t="n">
        <v>0.3</v>
      </c>
      <c r="M852" t="n">
        <v>0.358624</v>
      </c>
    </row>
    <row r="853">
      <c r="A853" t="inlineStr">
        <is>
          <t>amp-bf16</t>
        </is>
      </c>
      <c r="B853" t="n">
        <v>12</v>
      </c>
      <c r="C853" t="n">
        <v>0.245091</v>
      </c>
      <c r="D853" t="n">
        <v>0.901892</v>
      </c>
      <c r="E853" t="n">
        <v>0.239687</v>
      </c>
      <c r="F853" t="n">
        <v>0.26689</v>
      </c>
      <c r="G853" t="n">
        <v>0.893688</v>
      </c>
      <c r="H853" t="n">
        <v>0.826413</v>
      </c>
      <c r="I853" t="n">
        <v>0.346616</v>
      </c>
      <c r="J853" t="n">
        <v>0.937729</v>
      </c>
      <c r="K853" t="n">
        <v>0</v>
      </c>
      <c r="L853" t="n">
        <v>0.3</v>
      </c>
      <c r="M853" t="n">
        <v>0.361355</v>
      </c>
    </row>
    <row r="854">
      <c r="A854" t="inlineStr">
        <is>
          <t>amp-bf16</t>
        </is>
      </c>
      <c r="B854" t="n">
        <v>13</v>
      </c>
      <c r="C854" t="n">
        <v>0.225568</v>
      </c>
      <c r="D854" t="n">
        <v>0.9091939999999999</v>
      </c>
      <c r="E854" t="n">
        <v>0.236329</v>
      </c>
      <c r="F854" t="n">
        <v>0.245926</v>
      </c>
      <c r="G854" t="n">
        <v>0.901282</v>
      </c>
      <c r="H854" t="n">
        <v>0.844266</v>
      </c>
      <c r="I854" t="n">
        <v>0.349199</v>
      </c>
      <c r="J854" t="n">
        <v>0.634563</v>
      </c>
      <c r="K854" t="n">
        <v>0</v>
      </c>
      <c r="L854" t="n">
        <v>0.3</v>
      </c>
      <c r="M854" t="n">
        <v>0.345137</v>
      </c>
    </row>
    <row r="855">
      <c r="A855" t="inlineStr">
        <is>
          <t>amp-bf16</t>
        </is>
      </c>
      <c r="B855" t="n">
        <v>14</v>
      </c>
      <c r="C855" t="n">
        <v>0.223547</v>
      </c>
      <c r="D855" t="n">
        <v>0.911574</v>
      </c>
      <c r="E855" t="n">
        <v>0.229224</v>
      </c>
      <c r="F855" t="n">
        <v>0.246273</v>
      </c>
      <c r="G855" t="n">
        <v>0.903498</v>
      </c>
      <c r="H855" t="n">
        <v>0.844902</v>
      </c>
      <c r="I855" t="n">
        <v>0.342002</v>
      </c>
      <c r="J855" t="n">
        <v>0.63491</v>
      </c>
      <c r="K855" t="n">
        <v>0</v>
      </c>
      <c r="L855" t="n">
        <v>0.3</v>
      </c>
      <c r="M855" t="n">
        <v>0.344718</v>
      </c>
    </row>
    <row r="856">
      <c r="A856" t="inlineStr">
        <is>
          <t>amp-bf16</t>
        </is>
      </c>
      <c r="B856" t="n">
        <v>15</v>
      </c>
      <c r="C856" t="n">
        <v>0.204068</v>
      </c>
      <c r="D856" t="n">
        <v>0.917399</v>
      </c>
      <c r="E856" t="n">
        <v>0.226698</v>
      </c>
      <c r="F856" t="n">
        <v>0.226765</v>
      </c>
      <c r="G856" t="n">
        <v>0.910523</v>
      </c>
      <c r="H856" t="n">
        <v>0.851152</v>
      </c>
      <c r="I856" t="n">
        <v>0.344812</v>
      </c>
      <c r="J856" t="n">
        <v>0.522794</v>
      </c>
      <c r="K856" t="n">
        <v>0</v>
      </c>
      <c r="L856" t="n">
        <v>0.3</v>
      </c>
      <c r="M856" t="n">
        <v>0.346482</v>
      </c>
    </row>
    <row r="857">
      <c r="A857" t="inlineStr">
        <is>
          <t>amp-bf16</t>
        </is>
      </c>
      <c r="B857" t="n">
        <v>16</v>
      </c>
      <c r="C857" t="n">
        <v>0.211729</v>
      </c>
      <c r="D857" t="n">
        <v>0.915597</v>
      </c>
      <c r="E857" t="n">
        <v>0.222069</v>
      </c>
      <c r="F857" t="n">
        <v>0.235106</v>
      </c>
      <c r="G857" t="n">
        <v>0.907823</v>
      </c>
      <c r="H857" t="n">
        <v>0.851808</v>
      </c>
      <c r="I857" t="n">
        <v>0.34536</v>
      </c>
      <c r="J857" t="n">
        <v>0.48841</v>
      </c>
      <c r="K857" t="n">
        <v>0</v>
      </c>
      <c r="L857" t="n">
        <v>0.3</v>
      </c>
      <c r="M857" t="n">
        <v>0.382536</v>
      </c>
    </row>
    <row r="858">
      <c r="A858" t="inlineStr">
        <is>
          <t>amp-bf16</t>
        </is>
      </c>
      <c r="B858" t="n">
        <v>17</v>
      </c>
      <c r="C858" t="n">
        <v>0.21008</v>
      </c>
      <c r="D858" t="n">
        <v>0.915527</v>
      </c>
      <c r="E858" t="n">
        <v>0.217717</v>
      </c>
      <c r="F858" t="n">
        <v>0.233569</v>
      </c>
      <c r="G858" t="n">
        <v>0.907866</v>
      </c>
      <c r="H858" t="n">
        <v>0.8463580000000001</v>
      </c>
      <c r="I858" t="n">
        <v>0.342162</v>
      </c>
      <c r="J858" t="n">
        <v>0.658388</v>
      </c>
      <c r="K858" t="n">
        <v>0</v>
      </c>
      <c r="L858" t="n">
        <v>0.3</v>
      </c>
      <c r="M858" t="n">
        <v>0.376802</v>
      </c>
    </row>
    <row r="859">
      <c r="A859" t="inlineStr">
        <is>
          <t>amp-bf16</t>
        </is>
      </c>
      <c r="B859" t="n">
        <v>18</v>
      </c>
      <c r="C859" t="n">
        <v>0.195966</v>
      </c>
      <c r="D859" t="n">
        <v>0.921035</v>
      </c>
      <c r="E859" t="n">
        <v>0.216587</v>
      </c>
      <c r="F859" t="n">
        <v>0.221445</v>
      </c>
      <c r="G859" t="n">
        <v>0.913018</v>
      </c>
      <c r="H859" t="n">
        <v>0.859645</v>
      </c>
      <c r="I859" t="n">
        <v>0.341323</v>
      </c>
      <c r="J859" t="n">
        <v>0.646676</v>
      </c>
      <c r="K859" t="n">
        <v>0</v>
      </c>
      <c r="L859" t="n">
        <v>0.3</v>
      </c>
      <c r="M859" t="n">
        <v>0.350049</v>
      </c>
    </row>
    <row r="860">
      <c r="A860" t="inlineStr">
        <is>
          <t>amp-bf16</t>
        </is>
      </c>
      <c r="B860" t="n">
        <v>19</v>
      </c>
      <c r="C860" t="n">
        <v>0.195013</v>
      </c>
      <c r="D860" t="n">
        <v>0.920833</v>
      </c>
      <c r="E860" t="n">
        <v>0.212842</v>
      </c>
      <c r="F860" t="n">
        <v>0.219489</v>
      </c>
      <c r="G860" t="n">
        <v>0.912168</v>
      </c>
      <c r="H860" t="n">
        <v>0.856622</v>
      </c>
      <c r="I860" t="n">
        <v>0.340505</v>
      </c>
      <c r="J860" t="n">
        <v>0.601891</v>
      </c>
      <c r="K860" t="n">
        <v>0</v>
      </c>
      <c r="L860" t="n">
        <v>0.3</v>
      </c>
      <c r="M860" t="n">
        <v>0.348191</v>
      </c>
    </row>
    <row r="861">
      <c r="A861" t="inlineStr">
        <is>
          <t>amp-bf16</t>
        </is>
      </c>
      <c r="B861" t="n">
        <v>20</v>
      </c>
      <c r="C861" t="n">
        <v>0.199696</v>
      </c>
      <c r="D861" t="n">
        <v>0.919252</v>
      </c>
      <c r="E861" t="n">
        <v>0.206993</v>
      </c>
      <c r="F861" t="n">
        <v>0.224835</v>
      </c>
      <c r="G861" t="n">
        <v>0.910695</v>
      </c>
      <c r="H861" t="n">
        <v>0.857165</v>
      </c>
      <c r="I861" t="n">
        <v>0.336868</v>
      </c>
      <c r="J861" t="n">
        <v>0.651209</v>
      </c>
      <c r="K861" t="n">
        <v>0</v>
      </c>
      <c r="L861" t="n">
        <v>0.3</v>
      </c>
      <c r="M861" t="n">
        <v>0.354343</v>
      </c>
    </row>
    <row r="862">
      <c r="A862" t="inlineStr">
        <is>
          <t>amp-xwide-fp32</t>
        </is>
      </c>
      <c r="B862" t="n">
        <v>1</v>
      </c>
      <c r="C862" t="n">
        <v>0.38979</v>
      </c>
      <c r="D862" t="n">
        <v>0.833203</v>
      </c>
      <c r="E862" t="n">
        <v>0.561662</v>
      </c>
      <c r="F862" t="n">
        <v>0.396705</v>
      </c>
      <c r="G862" t="n">
        <v>0.8296289999999999</v>
      </c>
      <c r="H862" t="n">
        <v>0.702757</v>
      </c>
      <c r="I862" t="n">
        <v>0.474688</v>
      </c>
      <c r="J862" t="n">
        <v>27.053419</v>
      </c>
      <c r="K862" t="n">
        <v>0</v>
      </c>
      <c r="L862" t="n">
        <v>0.3</v>
      </c>
      <c r="M862" t="n">
        <v>7.562718</v>
      </c>
    </row>
    <row r="863">
      <c r="A863" t="inlineStr">
        <is>
          <t>amp-xwide-fp32</t>
        </is>
      </c>
      <c r="B863" t="n">
        <v>2</v>
      </c>
      <c r="C863" t="n">
        <v>0.319963</v>
      </c>
      <c r="D863" t="n">
        <v>0.867548</v>
      </c>
      <c r="E863" t="n">
        <v>0.354442</v>
      </c>
      <c r="F863" t="n">
        <v>0.330501</v>
      </c>
      <c r="G863" t="n">
        <v>0.862793</v>
      </c>
      <c r="H863" t="n">
        <v>0.779327</v>
      </c>
      <c r="I863" t="n">
        <v>0.348822</v>
      </c>
      <c r="J863" t="n">
        <v>0.546966</v>
      </c>
      <c r="K863" t="n">
        <v>0</v>
      </c>
      <c r="L863" t="n">
        <v>0.3</v>
      </c>
      <c r="M863" t="n">
        <v>7.570996</v>
      </c>
    </row>
    <row r="864">
      <c r="A864" t="inlineStr">
        <is>
          <t>amp-xwide-fp32</t>
        </is>
      </c>
      <c r="B864" t="n">
        <v>3</v>
      </c>
      <c r="C864" t="n">
        <v>0.293264</v>
      </c>
      <c r="D864" t="n">
        <v>0.879908</v>
      </c>
      <c r="E864" t="n">
        <v>0.303846</v>
      </c>
      <c r="F864" t="n">
        <v>0.306813</v>
      </c>
      <c r="G864" t="n">
        <v>0.874379</v>
      </c>
      <c r="H864" t="n">
        <v>0.787048</v>
      </c>
      <c r="I864" t="n">
        <v>0.345588</v>
      </c>
      <c r="J864" t="n">
        <v>0.546817</v>
      </c>
      <c r="K864" t="n">
        <v>0</v>
      </c>
      <c r="L864" t="n">
        <v>0.3</v>
      </c>
      <c r="M864" t="n">
        <v>7.538571</v>
      </c>
    </row>
    <row r="865">
      <c r="A865" t="inlineStr">
        <is>
          <t>amp-xwide-fp32</t>
        </is>
      </c>
      <c r="B865" t="n">
        <v>4</v>
      </c>
      <c r="C865" t="n">
        <v>0.264453</v>
      </c>
      <c r="D865" t="n">
        <v>0.89035</v>
      </c>
      <c r="E865" t="n">
        <v>0.273465</v>
      </c>
      <c r="F865" t="n">
        <v>0.28112</v>
      </c>
      <c r="G865" t="n">
        <v>0.883974</v>
      </c>
      <c r="H865" t="n">
        <v>0.817425</v>
      </c>
      <c r="I865" t="n">
        <v>0.340912</v>
      </c>
      <c r="J865" t="n">
        <v>0.579422</v>
      </c>
      <c r="K865" t="n">
        <v>0</v>
      </c>
      <c r="L865" t="n">
        <v>0.3</v>
      </c>
      <c r="M865" t="n">
        <v>7.560614</v>
      </c>
    </row>
    <row r="866">
      <c r="A866" t="inlineStr">
        <is>
          <t>amp-xwide-fp32</t>
        </is>
      </c>
      <c r="B866" t="n">
        <v>5</v>
      </c>
      <c r="C866" t="n">
        <v>0.231638</v>
      </c>
      <c r="D866" t="n">
        <v>0.90523</v>
      </c>
      <c r="E866" t="n">
        <v>0.250757</v>
      </c>
      <c r="F866" t="n">
        <v>0.246449</v>
      </c>
      <c r="G866" t="n">
        <v>0.898324</v>
      </c>
      <c r="H866" t="n">
        <v>0.831335</v>
      </c>
      <c r="I866" t="n">
        <v>0.341027</v>
      </c>
      <c r="J866" t="n">
        <v>0.598149</v>
      </c>
      <c r="K866" t="n">
        <v>0</v>
      </c>
      <c r="L866" t="n">
        <v>0.3</v>
      </c>
      <c r="M866" t="n">
        <v>7.528467</v>
      </c>
    </row>
    <row r="867">
      <c r="A867" t="inlineStr">
        <is>
          <t>amp-xwide-fp16</t>
        </is>
      </c>
      <c r="B867" t="n">
        <v>1</v>
      </c>
      <c r="C867" t="n">
        <v>0.389477</v>
      </c>
      <c r="D867" t="n">
        <v>0.834136</v>
      </c>
      <c r="E867" t="n">
        <v>0.5787060000000001</v>
      </c>
      <c r="F867" t="n">
        <v>0.396961</v>
      </c>
      <c r="G867" t="n">
        <v>0.82978</v>
      </c>
      <c r="H867" t="n">
        <v>0.712441</v>
      </c>
      <c r="I867" t="n">
        <v>0.475894</v>
      </c>
      <c r="J867" t="n">
        <v>25.954243</v>
      </c>
      <c r="K867" t="n">
        <v>0</v>
      </c>
      <c r="L867" t="n">
        <v>0.3</v>
      </c>
      <c r="M867" t="n">
        <v>6.196247</v>
      </c>
    </row>
    <row r="868">
      <c r="A868" t="inlineStr">
        <is>
          <t>amp-xwide-fp16</t>
        </is>
      </c>
      <c r="B868" t="n">
        <v>2</v>
      </c>
      <c r="C868" t="n">
        <v>0.318749</v>
      </c>
      <c r="D868" t="n">
        <v>0.869016</v>
      </c>
      <c r="E868" t="n">
        <v>0.355</v>
      </c>
      <c r="F868" t="n">
        <v>0.330251</v>
      </c>
      <c r="G868" t="n">
        <v>0.863686</v>
      </c>
      <c r="H868" t="n">
        <v>0.781061</v>
      </c>
      <c r="I868" t="n">
        <v>0.345226</v>
      </c>
      <c r="J868" t="n">
        <v>0.542118</v>
      </c>
      <c r="K868" t="n">
        <v>0</v>
      </c>
      <c r="L868" t="n">
        <v>0.3</v>
      </c>
      <c r="M868" t="n">
        <v>8.199286000000001</v>
      </c>
    </row>
    <row r="869">
      <c r="A869" t="inlineStr">
        <is>
          <t>amp-xwide-fp16</t>
        </is>
      </c>
      <c r="B869" t="n">
        <v>3</v>
      </c>
      <c r="C869" t="n">
        <v>0.30317</v>
      </c>
      <c r="D869" t="n">
        <v>0.8769709999999999</v>
      </c>
      <c r="E869" t="n">
        <v>0.304249</v>
      </c>
      <c r="F869" t="n">
        <v>0.319222</v>
      </c>
      <c r="G869" t="n">
        <v>0.87013</v>
      </c>
      <c r="H869" t="n">
        <v>0.769089</v>
      </c>
      <c r="I869" t="n">
        <v>0.347964</v>
      </c>
      <c r="J869" t="n">
        <v>0.508121</v>
      </c>
      <c r="K869" t="n">
        <v>0</v>
      </c>
      <c r="L869" t="n">
        <v>0.3</v>
      </c>
      <c r="M869" t="n">
        <v>7.142241</v>
      </c>
    </row>
    <row r="870">
      <c r="A870" t="inlineStr">
        <is>
          <t>amp-xwide-fp16</t>
        </is>
      </c>
      <c r="B870" t="n">
        <v>4</v>
      </c>
      <c r="C870" t="n">
        <v>0.272708</v>
      </c>
      <c r="D870" t="n">
        <v>0.8876579999999999</v>
      </c>
      <c r="E870" t="n">
        <v>0.272871</v>
      </c>
      <c r="F870" t="n">
        <v>0.290261</v>
      </c>
      <c r="G870" t="n">
        <v>0.880672</v>
      </c>
      <c r="H870" t="n">
        <v>0.809047</v>
      </c>
      <c r="I870" t="n">
        <v>0.344157</v>
      </c>
      <c r="J870" t="n">
        <v>0.769737</v>
      </c>
      <c r="K870" t="n">
        <v>0</v>
      </c>
      <c r="L870" t="n">
        <v>0.3</v>
      </c>
      <c r="M870" t="n">
        <v>7.445177</v>
      </c>
    </row>
    <row r="871">
      <c r="A871" t="inlineStr">
        <is>
          <t>amp-xwide-fp16</t>
        </is>
      </c>
      <c r="B871" t="n">
        <v>5</v>
      </c>
      <c r="C871" t="n">
        <v>0.236538</v>
      </c>
      <c r="D871" t="n">
        <v>0.9025</v>
      </c>
      <c r="E871" t="n">
        <v>0.250997</v>
      </c>
      <c r="F871" t="n">
        <v>0.253267</v>
      </c>
      <c r="G871" t="n">
        <v>0.895075</v>
      </c>
      <c r="H871" t="n">
        <v>0.826633</v>
      </c>
      <c r="I871" t="n">
        <v>0.342197</v>
      </c>
      <c r="J871" t="n">
        <v>0.645118</v>
      </c>
      <c r="K871" t="n">
        <v>0</v>
      </c>
      <c r="L871" t="n">
        <v>0.3</v>
      </c>
      <c r="M871" t="n">
        <v>7.380478</v>
      </c>
    </row>
    <row r="872">
      <c r="A872" t="inlineStr">
        <is>
          <t>amp-xwide-bf16</t>
        </is>
      </c>
      <c r="B872" t="n">
        <v>1</v>
      </c>
      <c r="C872" t="n">
        <v>0.39383</v>
      </c>
      <c r="D872" t="n">
        <v>0.8325090000000001</v>
      </c>
      <c r="E872" t="n">
        <v>0.560917</v>
      </c>
      <c r="F872" t="n">
        <v>0.400331</v>
      </c>
      <c r="G872" t="n">
        <v>0.828435</v>
      </c>
      <c r="H872" t="n">
        <v>0.71293</v>
      </c>
      <c r="I872" t="n">
        <v>0.477927</v>
      </c>
      <c r="J872" t="n">
        <v>27.088358</v>
      </c>
      <c r="K872" t="n">
        <v>0</v>
      </c>
      <c r="L872" t="n">
        <v>0.3</v>
      </c>
      <c r="M872" t="n">
        <v>5.225846</v>
      </c>
    </row>
    <row r="873">
      <c r="A873" t="inlineStr">
        <is>
          <t>amp-xwide-bf16</t>
        </is>
      </c>
      <c r="B873" t="n">
        <v>2</v>
      </c>
      <c r="C873" t="n">
        <v>0.32224</v>
      </c>
      <c r="D873" t="n">
        <v>0.866208</v>
      </c>
      <c r="E873" t="n">
        <v>0.355036</v>
      </c>
      <c r="F873" t="n">
        <v>0.334304</v>
      </c>
      <c r="G873" t="n">
        <v>0.86146</v>
      </c>
      <c r="H873" t="n">
        <v>0.777438</v>
      </c>
      <c r="I873" t="n">
        <v>0.346266</v>
      </c>
      <c r="J873" t="n">
        <v>0.580905</v>
      </c>
      <c r="K873" t="n">
        <v>0</v>
      </c>
      <c r="L873" t="n">
        <v>0.3</v>
      </c>
      <c r="M873" t="n">
        <v>5.211866</v>
      </c>
    </row>
    <row r="874">
      <c r="A874" t="inlineStr">
        <is>
          <t>amp-xwide-bf16</t>
        </is>
      </c>
      <c r="B874" t="n">
        <v>3</v>
      </c>
      <c r="C874" t="n">
        <v>0.284394</v>
      </c>
      <c r="D874" t="n">
        <v>0.884065</v>
      </c>
      <c r="E874" t="n">
        <v>0.303059</v>
      </c>
      <c r="F874" t="n">
        <v>0.299821</v>
      </c>
      <c r="G874" t="n">
        <v>0.877584</v>
      </c>
      <c r="H874" t="n">
        <v>0.789783</v>
      </c>
      <c r="I874" t="n">
        <v>0.345193</v>
      </c>
      <c r="J874" t="n">
        <v>0.55899</v>
      </c>
      <c r="K874" t="n">
        <v>0</v>
      </c>
      <c r="L874" t="n">
        <v>0.3</v>
      </c>
      <c r="M874" t="n">
        <v>5.20216</v>
      </c>
    </row>
    <row r="875">
      <c r="A875" t="inlineStr">
        <is>
          <t>amp-xwide-bf16</t>
        </is>
      </c>
      <c r="B875" t="n">
        <v>4</v>
      </c>
      <c r="C875" t="n">
        <v>0.259651</v>
      </c>
      <c r="D875" t="n">
        <v>0.893265</v>
      </c>
      <c r="E875" t="n">
        <v>0.272275</v>
      </c>
      <c r="F875" t="n">
        <v>0.276642</v>
      </c>
      <c r="G875" t="n">
        <v>0.886771</v>
      </c>
      <c r="H875" t="n">
        <v>0.821566</v>
      </c>
      <c r="I875" t="n">
        <v>0.343333</v>
      </c>
      <c r="J875" t="n">
        <v>0.687242</v>
      </c>
      <c r="K875" t="n">
        <v>0</v>
      </c>
      <c r="L875" t="n">
        <v>0.3</v>
      </c>
      <c r="M875" t="n">
        <v>5.199998</v>
      </c>
    </row>
    <row r="876">
      <c r="A876" t="inlineStr">
        <is>
          <t>amp-xwide-bf16</t>
        </is>
      </c>
      <c r="B876" t="n">
        <v>5</v>
      </c>
      <c r="C876" t="n">
        <v>0.231485</v>
      </c>
      <c r="D876" t="n">
        <v>0.904762</v>
      </c>
      <c r="E876" t="n">
        <v>0.250661</v>
      </c>
      <c r="F876" t="n">
        <v>0.24926</v>
      </c>
      <c r="G876" t="n">
        <v>0.897711</v>
      </c>
      <c r="H876" t="n">
        <v>0.83446</v>
      </c>
      <c r="I876" t="n">
        <v>0.340854</v>
      </c>
      <c r="J876" t="n">
        <v>0.679245</v>
      </c>
      <c r="K876" t="n">
        <v>0</v>
      </c>
      <c r="L876" t="n">
        <v>0.3</v>
      </c>
      <c r="M876" t="n">
        <v>5.207381</v>
      </c>
    </row>
    <row r="877">
      <c r="A877" t="inlineStr">
        <is>
          <t>init-zeros</t>
        </is>
      </c>
      <c r="B877" t="n">
        <v>1</v>
      </c>
      <c r="C877" t="n">
        <v>1.205695</v>
      </c>
      <c r="D877" t="n">
        <v>0.487598</v>
      </c>
      <c r="E877" t="n">
        <v>1.212031</v>
      </c>
      <c r="F877" t="n">
        <v>1.205697</v>
      </c>
      <c r="G877" t="n">
        <v>0.487597</v>
      </c>
      <c r="H877" t="n">
        <v>0.09365</v>
      </c>
      <c r="I877" t="n">
        <v>0.040976</v>
      </c>
      <c r="J877" t="n">
        <v>0.497893</v>
      </c>
      <c r="K877" t="n">
        <v>0</v>
      </c>
      <c r="L877" t="n">
        <v>0.3</v>
      </c>
      <c r="M877" t="n">
        <v>0.304741</v>
      </c>
    </row>
    <row r="878">
      <c r="A878" t="inlineStr">
        <is>
          <t>init-zeros</t>
        </is>
      </c>
      <c r="B878" t="n">
        <v>2</v>
      </c>
      <c r="C878" t="n">
        <v>1.205718</v>
      </c>
      <c r="D878" t="n">
        <v>0.487598</v>
      </c>
      <c r="E878" t="n">
        <v>1.206161</v>
      </c>
      <c r="F878" t="n">
        <v>1.205719</v>
      </c>
      <c r="G878" t="n">
        <v>0.487597</v>
      </c>
      <c r="H878" t="n">
        <v>0.09365</v>
      </c>
      <c r="I878" t="n">
        <v>0.037433</v>
      </c>
      <c r="J878" t="n">
        <v>0.116511</v>
      </c>
      <c r="K878" t="n">
        <v>0</v>
      </c>
      <c r="L878" t="n">
        <v>0.3</v>
      </c>
      <c r="M878" t="n">
        <v>0.310884</v>
      </c>
    </row>
    <row r="879">
      <c r="A879" t="inlineStr">
        <is>
          <t>init-zeros</t>
        </is>
      </c>
      <c r="B879" t="n">
        <v>3</v>
      </c>
      <c r="C879" t="n">
        <v>1.206971</v>
      </c>
      <c r="D879" t="n">
        <v>0.487598</v>
      </c>
      <c r="E879" t="n">
        <v>1.206042</v>
      </c>
      <c r="F879" t="n">
        <v>1.206973</v>
      </c>
      <c r="G879" t="n">
        <v>0.487597</v>
      </c>
      <c r="H879" t="n">
        <v>0.09365</v>
      </c>
      <c r="I879" t="n">
        <v>0.037632</v>
      </c>
      <c r="J879" t="n">
        <v>0.119647</v>
      </c>
      <c r="K879" t="n">
        <v>0</v>
      </c>
      <c r="L879" t="n">
        <v>0.3</v>
      </c>
      <c r="M879" t="n">
        <v>0.318345</v>
      </c>
    </row>
    <row r="880">
      <c r="A880" t="inlineStr">
        <is>
          <t>init-zeros</t>
        </is>
      </c>
      <c r="B880" t="n">
        <v>4</v>
      </c>
      <c r="C880" t="n">
        <v>1.205487</v>
      </c>
      <c r="D880" t="n">
        <v>0.487598</v>
      </c>
      <c r="E880" t="n">
        <v>1.205916</v>
      </c>
      <c r="F880" t="n">
        <v>1.205488</v>
      </c>
      <c r="G880" t="n">
        <v>0.487597</v>
      </c>
      <c r="H880" t="n">
        <v>0.09365</v>
      </c>
      <c r="I880" t="n">
        <v>0.035666</v>
      </c>
      <c r="J880" t="n">
        <v>0.12754</v>
      </c>
      <c r="K880" t="n">
        <v>0</v>
      </c>
      <c r="L880" t="n">
        <v>0.3</v>
      </c>
      <c r="M880" t="n">
        <v>0.318615</v>
      </c>
    </row>
    <row r="881">
      <c r="A881" t="inlineStr">
        <is>
          <t>init-zeros</t>
        </is>
      </c>
      <c r="B881" t="n">
        <v>5</v>
      </c>
      <c r="C881" t="n">
        <v>1.208787</v>
      </c>
      <c r="D881" t="n">
        <v>0.487598</v>
      </c>
      <c r="E881" t="n">
        <v>1.206177</v>
      </c>
      <c r="F881" t="n">
        <v>1.208787</v>
      </c>
      <c r="G881" t="n">
        <v>0.487597</v>
      </c>
      <c r="H881" t="n">
        <v>0.09365</v>
      </c>
      <c r="I881" t="n">
        <v>0.038756</v>
      </c>
      <c r="J881" t="n">
        <v>0.127088</v>
      </c>
      <c r="K881" t="n">
        <v>0</v>
      </c>
      <c r="L881" t="n">
        <v>0.3</v>
      </c>
      <c r="M881" t="n">
        <v>0.315283</v>
      </c>
    </row>
    <row r="882">
      <c r="A882" t="inlineStr">
        <is>
          <t>init-zeros</t>
        </is>
      </c>
      <c r="B882" t="n">
        <v>6</v>
      </c>
      <c r="C882" t="n">
        <v>1.205656</v>
      </c>
      <c r="D882" t="n">
        <v>0.487598</v>
      </c>
      <c r="E882" t="n">
        <v>1.206072</v>
      </c>
      <c r="F882" t="n">
        <v>1.205658</v>
      </c>
      <c r="G882" t="n">
        <v>0.487597</v>
      </c>
      <c r="H882" t="n">
        <v>0.09365</v>
      </c>
      <c r="I882" t="n">
        <v>0.037456</v>
      </c>
      <c r="J882" t="n">
        <v>0.098903</v>
      </c>
      <c r="K882" t="n">
        <v>0</v>
      </c>
      <c r="L882" t="n">
        <v>0.3</v>
      </c>
      <c r="M882" t="n">
        <v>0.319108</v>
      </c>
    </row>
    <row r="883">
      <c r="A883" t="inlineStr">
        <is>
          <t>init-zeros</t>
        </is>
      </c>
      <c r="B883" t="n">
        <v>7</v>
      </c>
      <c r="C883" t="n">
        <v>1.206104</v>
      </c>
      <c r="D883" t="n">
        <v>0.487598</v>
      </c>
      <c r="E883" t="n">
        <v>1.206235</v>
      </c>
      <c r="F883" t="n">
        <v>1.206106</v>
      </c>
      <c r="G883" t="n">
        <v>0.487597</v>
      </c>
      <c r="H883" t="n">
        <v>0.09365</v>
      </c>
      <c r="I883" t="n">
        <v>0.038243</v>
      </c>
      <c r="J883" t="n">
        <v>0.111329</v>
      </c>
      <c r="K883" t="n">
        <v>0</v>
      </c>
      <c r="L883" t="n">
        <v>0.3</v>
      </c>
      <c r="M883" t="n">
        <v>0.317703</v>
      </c>
    </row>
    <row r="884">
      <c r="A884" t="inlineStr">
        <is>
          <t>init-zeros</t>
        </is>
      </c>
      <c r="B884" t="n">
        <v>8</v>
      </c>
      <c r="C884" t="n">
        <v>1.206125</v>
      </c>
      <c r="D884" t="n">
        <v>0.487598</v>
      </c>
      <c r="E884" t="n">
        <v>1.206112</v>
      </c>
      <c r="F884" t="n">
        <v>1.206128</v>
      </c>
      <c r="G884" t="n">
        <v>0.487597</v>
      </c>
      <c r="H884" t="n">
        <v>0.09365</v>
      </c>
      <c r="I884" t="n">
        <v>0.037129</v>
      </c>
      <c r="J884" t="n">
        <v>0.11603</v>
      </c>
      <c r="K884" t="n">
        <v>0</v>
      </c>
      <c r="L884" t="n">
        <v>0.3</v>
      </c>
      <c r="M884" t="n">
        <v>0.321388</v>
      </c>
    </row>
    <row r="885">
      <c r="A885" t="inlineStr">
        <is>
          <t>init-zeros</t>
        </is>
      </c>
      <c r="B885" t="n">
        <v>9</v>
      </c>
      <c r="C885" t="n">
        <v>1.205241</v>
      </c>
      <c r="D885" t="n">
        <v>0.487598</v>
      </c>
      <c r="E885" t="n">
        <v>1.20594</v>
      </c>
      <c r="F885" t="n">
        <v>1.205244</v>
      </c>
      <c r="G885" t="n">
        <v>0.487597</v>
      </c>
      <c r="H885" t="n">
        <v>0.09365</v>
      </c>
      <c r="I885" t="n">
        <v>0.036422</v>
      </c>
      <c r="J885" t="n">
        <v>0.147036</v>
      </c>
      <c r="K885" t="n">
        <v>0</v>
      </c>
      <c r="L885" t="n">
        <v>0.3</v>
      </c>
      <c r="M885" t="n">
        <v>0.322011</v>
      </c>
    </row>
    <row r="886">
      <c r="A886" t="inlineStr">
        <is>
          <t>init-zeros</t>
        </is>
      </c>
      <c r="B886" t="n">
        <v>10</v>
      </c>
      <c r="C886" t="n">
        <v>1.205401</v>
      </c>
      <c r="D886" t="n">
        <v>0.487598</v>
      </c>
      <c r="E886" t="n">
        <v>1.206198</v>
      </c>
      <c r="F886" t="n">
        <v>1.205404</v>
      </c>
      <c r="G886" t="n">
        <v>0.487597</v>
      </c>
      <c r="H886" t="n">
        <v>0.09365</v>
      </c>
      <c r="I886" t="n">
        <v>0.039252</v>
      </c>
      <c r="J886" t="n">
        <v>0.121339</v>
      </c>
      <c r="K886" t="n">
        <v>0</v>
      </c>
      <c r="L886" t="n">
        <v>0.3</v>
      </c>
      <c r="M886" t="n">
        <v>0.327026</v>
      </c>
    </row>
    <row r="887">
      <c r="A887" t="inlineStr">
        <is>
          <t>init-zeros</t>
        </is>
      </c>
      <c r="B887" t="n">
        <v>11</v>
      </c>
      <c r="C887" t="n">
        <v>1.205342</v>
      </c>
      <c r="D887" t="n">
        <v>0.487598</v>
      </c>
      <c r="E887" t="n">
        <v>1.206166</v>
      </c>
      <c r="F887" t="n">
        <v>1.205343</v>
      </c>
      <c r="G887" t="n">
        <v>0.487597</v>
      </c>
      <c r="H887" t="n">
        <v>0.09365</v>
      </c>
      <c r="I887" t="n">
        <v>0.039222</v>
      </c>
      <c r="J887" t="n">
        <v>0.128292</v>
      </c>
      <c r="K887" t="n">
        <v>0</v>
      </c>
      <c r="L887" t="n">
        <v>0.3</v>
      </c>
      <c r="M887" t="n">
        <v>0.309535</v>
      </c>
    </row>
    <row r="888">
      <c r="A888" t="inlineStr">
        <is>
          <t>init-zeros</t>
        </is>
      </c>
      <c r="B888" t="n">
        <v>12</v>
      </c>
      <c r="C888" t="n">
        <v>1.205341</v>
      </c>
      <c r="D888" t="n">
        <v>0.487598</v>
      </c>
      <c r="E888" t="n">
        <v>1.206177</v>
      </c>
      <c r="F888" t="n">
        <v>1.205343</v>
      </c>
      <c r="G888" t="n">
        <v>0.487597</v>
      </c>
      <c r="H888" t="n">
        <v>0.09365</v>
      </c>
      <c r="I888" t="n">
        <v>0.038205</v>
      </c>
      <c r="J888" t="n">
        <v>0.151463</v>
      </c>
      <c r="K888" t="n">
        <v>0</v>
      </c>
      <c r="L888" t="n">
        <v>0.3</v>
      </c>
      <c r="M888" t="n">
        <v>0.336144</v>
      </c>
    </row>
    <row r="889">
      <c r="A889" t="inlineStr">
        <is>
          <t>init-zeros</t>
        </is>
      </c>
      <c r="B889" t="n">
        <v>13</v>
      </c>
      <c r="C889" t="n">
        <v>1.207162</v>
      </c>
      <c r="D889" t="n">
        <v>0.487598</v>
      </c>
      <c r="E889" t="n">
        <v>1.20619</v>
      </c>
      <c r="F889" t="n">
        <v>1.207163</v>
      </c>
      <c r="G889" t="n">
        <v>0.487597</v>
      </c>
      <c r="H889" t="n">
        <v>0.09365</v>
      </c>
      <c r="I889" t="n">
        <v>0.03962</v>
      </c>
      <c r="J889" t="n">
        <v>0.129653</v>
      </c>
      <c r="K889" t="n">
        <v>0</v>
      </c>
      <c r="L889" t="n">
        <v>0.3</v>
      </c>
      <c r="M889" t="n">
        <v>0.309203</v>
      </c>
    </row>
    <row r="890">
      <c r="A890" t="inlineStr">
        <is>
          <t>init-zeros</t>
        </is>
      </c>
      <c r="B890" t="n">
        <v>14</v>
      </c>
      <c r="C890" t="n">
        <v>1.21002</v>
      </c>
      <c r="D890" t="n">
        <v>0.487598</v>
      </c>
      <c r="E890" t="n">
        <v>1.206128</v>
      </c>
      <c r="F890" t="n">
        <v>1.210022</v>
      </c>
      <c r="G890" t="n">
        <v>0.487597</v>
      </c>
      <c r="H890" t="n">
        <v>0.09365</v>
      </c>
      <c r="I890" t="n">
        <v>0.039071</v>
      </c>
      <c r="J890" t="n">
        <v>0.129256</v>
      </c>
      <c r="K890" t="n">
        <v>0</v>
      </c>
      <c r="L890" t="n">
        <v>0.3</v>
      </c>
      <c r="M890" t="n">
        <v>0.309451</v>
      </c>
    </row>
    <row r="891">
      <c r="A891" t="inlineStr">
        <is>
          <t>init-zeros</t>
        </is>
      </c>
      <c r="B891" t="n">
        <v>15</v>
      </c>
      <c r="C891" t="n">
        <v>1.205246</v>
      </c>
      <c r="D891" t="n">
        <v>0.487598</v>
      </c>
      <c r="E891" t="n">
        <v>1.206295</v>
      </c>
      <c r="F891" t="n">
        <v>1.205248</v>
      </c>
      <c r="G891" t="n">
        <v>0.487597</v>
      </c>
      <c r="H891" t="n">
        <v>0.09365</v>
      </c>
      <c r="I891" t="n">
        <v>0.038197</v>
      </c>
      <c r="J891" t="n">
        <v>0.114592</v>
      </c>
      <c r="K891" t="n">
        <v>0</v>
      </c>
      <c r="L891" t="n">
        <v>0.3</v>
      </c>
      <c r="M891" t="n">
        <v>0.313351</v>
      </c>
    </row>
    <row r="892">
      <c r="A892" t="inlineStr">
        <is>
          <t>init-zeros</t>
        </is>
      </c>
      <c r="B892" t="n">
        <v>16</v>
      </c>
      <c r="C892" t="n">
        <v>1.206008</v>
      </c>
      <c r="D892" t="n">
        <v>0.487598</v>
      </c>
      <c r="E892" t="n">
        <v>1.206165</v>
      </c>
      <c r="F892" t="n">
        <v>1.20601</v>
      </c>
      <c r="G892" t="n">
        <v>0.487597</v>
      </c>
      <c r="H892" t="n">
        <v>0.09365</v>
      </c>
      <c r="I892" t="n">
        <v>0.03865</v>
      </c>
      <c r="J892" t="n">
        <v>0.116563</v>
      </c>
      <c r="K892" t="n">
        <v>0</v>
      </c>
      <c r="L892" t="n">
        <v>0.3</v>
      </c>
      <c r="M892" t="n">
        <v>0.312721</v>
      </c>
    </row>
    <row r="893">
      <c r="A893" t="inlineStr">
        <is>
          <t>init-zeros</t>
        </is>
      </c>
      <c r="B893" t="n">
        <v>17</v>
      </c>
      <c r="C893" t="n">
        <v>1.205558</v>
      </c>
      <c r="D893" t="n">
        <v>0.487598</v>
      </c>
      <c r="E893" t="n">
        <v>1.205898</v>
      </c>
      <c r="F893" t="n">
        <v>1.20556</v>
      </c>
      <c r="G893" t="n">
        <v>0.487597</v>
      </c>
      <c r="H893" t="n">
        <v>0.09365</v>
      </c>
      <c r="I893" t="n">
        <v>0.036929</v>
      </c>
      <c r="J893" t="n">
        <v>0.119524</v>
      </c>
      <c r="K893" t="n">
        <v>0</v>
      </c>
      <c r="L893" t="n">
        <v>0.3</v>
      </c>
      <c r="M893" t="n">
        <v>0.336718</v>
      </c>
    </row>
    <row r="894">
      <c r="A894" t="inlineStr">
        <is>
          <t>init-zeros</t>
        </is>
      </c>
      <c r="B894" t="n">
        <v>18</v>
      </c>
      <c r="C894" t="n">
        <v>1.205244</v>
      </c>
      <c r="D894" t="n">
        <v>0.487598</v>
      </c>
      <c r="E894" t="n">
        <v>1.206217</v>
      </c>
      <c r="F894" t="n">
        <v>1.205246</v>
      </c>
      <c r="G894" t="n">
        <v>0.487597</v>
      </c>
      <c r="H894" t="n">
        <v>0.09365</v>
      </c>
      <c r="I894" t="n">
        <v>0.038814</v>
      </c>
      <c r="J894" t="n">
        <v>0.142322</v>
      </c>
      <c r="K894" t="n">
        <v>0</v>
      </c>
      <c r="L894" t="n">
        <v>0.3</v>
      </c>
      <c r="M894" t="n">
        <v>0.312311</v>
      </c>
    </row>
    <row r="895">
      <c r="A895" t="inlineStr">
        <is>
          <t>init-zeros</t>
        </is>
      </c>
      <c r="B895" t="n">
        <v>19</v>
      </c>
      <c r="C895" t="n">
        <v>1.207186</v>
      </c>
      <c r="D895" t="n">
        <v>0.487598</v>
      </c>
      <c r="E895" t="n">
        <v>1.206085</v>
      </c>
      <c r="F895" t="n">
        <v>1.207187</v>
      </c>
      <c r="G895" t="n">
        <v>0.487597</v>
      </c>
      <c r="H895" t="n">
        <v>0.09365</v>
      </c>
      <c r="I895" t="n">
        <v>0.03832</v>
      </c>
      <c r="J895" t="n">
        <v>0.122257</v>
      </c>
      <c r="K895" t="n">
        <v>0</v>
      </c>
      <c r="L895" t="n">
        <v>0.3</v>
      </c>
      <c r="M895" t="n">
        <v>0.311597</v>
      </c>
    </row>
    <row r="896">
      <c r="A896" t="inlineStr">
        <is>
          <t>init-zeros</t>
        </is>
      </c>
      <c r="B896" t="n">
        <v>20</v>
      </c>
      <c r="C896" t="n">
        <v>1.206727</v>
      </c>
      <c r="D896" t="n">
        <v>0.487598</v>
      </c>
      <c r="E896" t="n">
        <v>1.206002</v>
      </c>
      <c r="F896" t="n">
        <v>1.206728</v>
      </c>
      <c r="G896" t="n">
        <v>0.487597</v>
      </c>
      <c r="H896" t="n">
        <v>0.09365</v>
      </c>
      <c r="I896" t="n">
        <v>0.03745</v>
      </c>
      <c r="J896" t="n">
        <v>0.12439</v>
      </c>
      <c r="K896" t="n">
        <v>0</v>
      </c>
      <c r="L896" t="n">
        <v>0.3</v>
      </c>
      <c r="M896" t="n">
        <v>0.318904</v>
      </c>
    </row>
    <row r="897">
      <c r="A897" t="inlineStr">
        <is>
          <t>init-normal</t>
        </is>
      </c>
      <c r="B897" t="n">
        <v>1</v>
      </c>
      <c r="C897" t="n">
        <v>0.483663</v>
      </c>
      <c r="D897" t="n">
        <v>0.792622</v>
      </c>
      <c r="E897" t="n">
        <v>0.628978</v>
      </c>
      <c r="F897" t="n">
        <v>0.486229</v>
      </c>
      <c r="G897" t="n">
        <v>0.791829</v>
      </c>
      <c r="H897" t="n">
        <v>0.61856</v>
      </c>
      <c r="I897" t="n">
        <v>0.304701</v>
      </c>
      <c r="J897" t="n">
        <v>0.649961</v>
      </c>
      <c r="K897" t="n">
        <v>0</v>
      </c>
      <c r="L897" t="n">
        <v>0.3</v>
      </c>
      <c r="M897" t="n">
        <v>0.308425</v>
      </c>
    </row>
    <row r="898">
      <c r="A898" t="inlineStr">
        <is>
          <t>init-normal</t>
        </is>
      </c>
      <c r="B898" t="n">
        <v>2</v>
      </c>
      <c r="C898" t="n">
        <v>0.419817</v>
      </c>
      <c r="D898" t="n">
        <v>0.822241</v>
      </c>
      <c r="E898" t="n">
        <v>0.449657</v>
      </c>
      <c r="F898" t="n">
        <v>0.426227</v>
      </c>
      <c r="G898" t="n">
        <v>0.819034</v>
      </c>
      <c r="H898" t="n">
        <v>0.702853</v>
      </c>
      <c r="I898" t="n">
        <v>0.371794</v>
      </c>
      <c r="J898" t="n">
        <v>0.741329</v>
      </c>
      <c r="K898" t="n">
        <v>0</v>
      </c>
      <c r="L898" t="n">
        <v>0.3</v>
      </c>
      <c r="M898" t="n">
        <v>0.310528</v>
      </c>
    </row>
    <row r="899">
      <c r="A899" t="inlineStr">
        <is>
          <t>init-normal</t>
        </is>
      </c>
      <c r="B899" t="n">
        <v>3</v>
      </c>
      <c r="C899" t="n">
        <v>0.363281</v>
      </c>
      <c r="D899" t="n">
        <v>0.846294</v>
      </c>
      <c r="E899" t="n">
        <v>0.388104</v>
      </c>
      <c r="F899" t="n">
        <v>0.372007</v>
      </c>
      <c r="G899" t="n">
        <v>0.8427210000000001</v>
      </c>
      <c r="H899" t="n">
        <v>0.703603</v>
      </c>
      <c r="I899" t="n">
        <v>0.379826</v>
      </c>
      <c r="J899" t="n">
        <v>0.644683</v>
      </c>
      <c r="K899" t="n">
        <v>0</v>
      </c>
      <c r="L899" t="n">
        <v>0.3</v>
      </c>
      <c r="M899" t="n">
        <v>0.312269</v>
      </c>
    </row>
    <row r="900">
      <c r="A900" t="inlineStr">
        <is>
          <t>init-normal</t>
        </is>
      </c>
      <c r="B900" t="n">
        <v>4</v>
      </c>
      <c r="C900" t="n">
        <v>0.34948</v>
      </c>
      <c r="D900" t="n">
        <v>0.854795</v>
      </c>
      <c r="E900" t="n">
        <v>0.35122</v>
      </c>
      <c r="F900" t="n">
        <v>0.357095</v>
      </c>
      <c r="G900" t="n">
        <v>0.851477</v>
      </c>
      <c r="H900" t="n">
        <v>0.742044</v>
      </c>
      <c r="I900" t="n">
        <v>0.377403</v>
      </c>
      <c r="J900" t="n">
        <v>0.670285</v>
      </c>
      <c r="K900" t="n">
        <v>0</v>
      </c>
      <c r="L900" t="n">
        <v>0.3</v>
      </c>
      <c r="M900" t="n">
        <v>0.314363</v>
      </c>
    </row>
    <row r="901">
      <c r="A901" t="inlineStr">
        <is>
          <t>init-normal</t>
        </is>
      </c>
      <c r="B901" t="n">
        <v>5</v>
      </c>
      <c r="C901" t="n">
        <v>0.30192</v>
      </c>
      <c r="D901" t="n">
        <v>0.877495</v>
      </c>
      <c r="E901" t="n">
        <v>0.325326</v>
      </c>
      <c r="F901" t="n">
        <v>0.311516</v>
      </c>
      <c r="G901" t="n">
        <v>0.873023</v>
      </c>
      <c r="H901" t="n">
        <v>0.786994</v>
      </c>
      <c r="I901" t="n">
        <v>0.375149</v>
      </c>
      <c r="J901" t="n">
        <v>0.588273</v>
      </c>
      <c r="K901" t="n">
        <v>0</v>
      </c>
      <c r="L901" t="n">
        <v>0.3</v>
      </c>
      <c r="M901" t="n">
        <v>0.317288</v>
      </c>
    </row>
    <row r="902">
      <c r="A902" t="inlineStr">
        <is>
          <t>init-normal</t>
        </is>
      </c>
      <c r="B902" t="n">
        <v>6</v>
      </c>
      <c r="C902" t="n">
        <v>0.313142</v>
      </c>
      <c r="D902" t="n">
        <v>0.873488</v>
      </c>
      <c r="E902" t="n">
        <v>0.30328</v>
      </c>
      <c r="F902" t="n">
        <v>0.324877</v>
      </c>
      <c r="G902" t="n">
        <v>0.869097</v>
      </c>
      <c r="H902" t="n">
        <v>0.785312</v>
      </c>
      <c r="I902" t="n">
        <v>0.368996</v>
      </c>
      <c r="J902" t="n">
        <v>0.695147</v>
      </c>
      <c r="K902" t="n">
        <v>0</v>
      </c>
      <c r="L902" t="n">
        <v>0.3</v>
      </c>
      <c r="M902" t="n">
        <v>0.319884</v>
      </c>
    </row>
    <row r="903">
      <c r="A903" t="inlineStr">
        <is>
          <t>init-normal</t>
        </is>
      </c>
      <c r="B903" t="n">
        <v>7</v>
      </c>
      <c r="C903" t="n">
        <v>0.283242</v>
      </c>
      <c r="D903" t="n">
        <v>0.883665</v>
      </c>
      <c r="E903" t="n">
        <v>0.287912</v>
      </c>
      <c r="F903" t="n">
        <v>0.296901</v>
      </c>
      <c r="G903" t="n">
        <v>0.879176</v>
      </c>
      <c r="H903" t="n">
        <v>0.789249</v>
      </c>
      <c r="I903" t="n">
        <v>0.367621</v>
      </c>
      <c r="J903" t="n">
        <v>0.5616409999999999</v>
      </c>
      <c r="K903" t="n">
        <v>0</v>
      </c>
      <c r="L903" t="n">
        <v>0.3</v>
      </c>
      <c r="M903" t="n">
        <v>0.318909</v>
      </c>
    </row>
    <row r="904">
      <c r="A904" t="inlineStr">
        <is>
          <t>init-normal</t>
        </is>
      </c>
      <c r="B904" t="n">
        <v>8</v>
      </c>
      <c r="C904" t="n">
        <v>0.256983</v>
      </c>
      <c r="D904" t="n">
        <v>0.895998</v>
      </c>
      <c r="E904" t="n">
        <v>0.276478</v>
      </c>
      <c r="F904" t="n">
        <v>0.27113</v>
      </c>
      <c r="G904" t="n">
        <v>0.888729</v>
      </c>
      <c r="H904" t="n">
        <v>0.819232</v>
      </c>
      <c r="I904" t="n">
        <v>0.366022</v>
      </c>
      <c r="J904" t="n">
        <v>0.613019</v>
      </c>
      <c r="K904" t="n">
        <v>0</v>
      </c>
      <c r="L904" t="n">
        <v>0.3</v>
      </c>
      <c r="M904" t="n">
        <v>0.309617</v>
      </c>
    </row>
    <row r="905">
      <c r="A905" t="inlineStr">
        <is>
          <t>init-normal</t>
        </is>
      </c>
      <c r="B905" t="n">
        <v>9</v>
      </c>
      <c r="C905" t="n">
        <v>0.243619</v>
      </c>
      <c r="D905" t="n">
        <v>0.902035</v>
      </c>
      <c r="E905" t="n">
        <v>0.263856</v>
      </c>
      <c r="F905" t="n">
        <v>0.259402</v>
      </c>
      <c r="G905" t="n">
        <v>0.895979</v>
      </c>
      <c r="H905" t="n">
        <v>0.822879</v>
      </c>
      <c r="I905" t="n">
        <v>0.361747</v>
      </c>
      <c r="J905" t="n">
        <v>0.649732</v>
      </c>
      <c r="K905" t="n">
        <v>0</v>
      </c>
      <c r="L905" t="n">
        <v>0.3</v>
      </c>
      <c r="M905" t="n">
        <v>0.312853</v>
      </c>
    </row>
    <row r="906">
      <c r="A906" t="inlineStr">
        <is>
          <t>init-normal</t>
        </is>
      </c>
      <c r="B906" t="n">
        <v>10</v>
      </c>
      <c r="C906" t="n">
        <v>0.25434</v>
      </c>
      <c r="D906" t="n">
        <v>0.897786</v>
      </c>
      <c r="E906" t="n">
        <v>0.254808</v>
      </c>
      <c r="F906" t="n">
        <v>0.268607</v>
      </c>
      <c r="G906" t="n">
        <v>0.8935689999999999</v>
      </c>
      <c r="H906" t="n">
        <v>0.825035</v>
      </c>
      <c r="I906" t="n">
        <v>0.358606</v>
      </c>
      <c r="J906" t="n">
        <v>0.730208</v>
      </c>
      <c r="K906" t="n">
        <v>0</v>
      </c>
      <c r="L906" t="n">
        <v>0.3</v>
      </c>
      <c r="M906" t="n">
        <v>0.316376</v>
      </c>
    </row>
    <row r="907">
      <c r="A907" t="inlineStr">
        <is>
          <t>init-normal</t>
        </is>
      </c>
      <c r="B907" t="n">
        <v>11</v>
      </c>
      <c r="C907" t="n">
        <v>0.236636</v>
      </c>
      <c r="D907" t="n">
        <v>0.903589</v>
      </c>
      <c r="E907" t="n">
        <v>0.244515</v>
      </c>
      <c r="F907" t="n">
        <v>0.253698</v>
      </c>
      <c r="G907" t="n">
        <v>0.898238</v>
      </c>
      <c r="H907" t="n">
        <v>0.827836</v>
      </c>
      <c r="I907" t="n">
        <v>0.355619</v>
      </c>
      <c r="J907" t="n">
        <v>0.557594</v>
      </c>
      <c r="K907" t="n">
        <v>0</v>
      </c>
      <c r="L907" t="n">
        <v>0.3</v>
      </c>
      <c r="M907" t="n">
        <v>0.312428</v>
      </c>
    </row>
    <row r="908">
      <c r="A908" t="inlineStr">
        <is>
          <t>init-normal</t>
        </is>
      </c>
      <c r="B908" t="n">
        <v>12</v>
      </c>
      <c r="C908" t="n">
        <v>0.238606</v>
      </c>
      <c r="D908" t="n">
        <v>0.905294</v>
      </c>
      <c r="E908" t="n">
        <v>0.23992</v>
      </c>
      <c r="F908" t="n">
        <v>0.256557</v>
      </c>
      <c r="G908" t="n">
        <v>0.899454</v>
      </c>
      <c r="H908" t="n">
        <v>0.833568</v>
      </c>
      <c r="I908" t="n">
        <v>0.35398</v>
      </c>
      <c r="J908" t="n">
        <v>0.686633</v>
      </c>
      <c r="K908" t="n">
        <v>0</v>
      </c>
      <c r="L908" t="n">
        <v>0.3</v>
      </c>
      <c r="M908" t="n">
        <v>0.314977</v>
      </c>
    </row>
    <row r="909">
      <c r="A909" t="inlineStr">
        <is>
          <t>init-normal</t>
        </is>
      </c>
      <c r="B909" t="n">
        <v>13</v>
      </c>
      <c r="C909" t="n">
        <v>0.226942</v>
      </c>
      <c r="D909" t="n">
        <v>0.908575</v>
      </c>
      <c r="E909" t="n">
        <v>0.233533</v>
      </c>
      <c r="F909" t="n">
        <v>0.24407</v>
      </c>
      <c r="G909" t="n">
        <v>0.902552</v>
      </c>
      <c r="H909" t="n">
        <v>0.841856</v>
      </c>
      <c r="I909" t="n">
        <v>0.35077</v>
      </c>
      <c r="J909" t="n">
        <v>0.554347</v>
      </c>
      <c r="K909" t="n">
        <v>0</v>
      </c>
      <c r="L909" t="n">
        <v>0.3</v>
      </c>
      <c r="M909" t="n">
        <v>0.309702</v>
      </c>
    </row>
    <row r="910">
      <c r="A910" t="inlineStr">
        <is>
          <t>init-normal</t>
        </is>
      </c>
      <c r="B910" t="n">
        <v>14</v>
      </c>
      <c r="C910" t="n">
        <v>0.217901</v>
      </c>
      <c r="D910" t="n">
        <v>0.912332</v>
      </c>
      <c r="E910" t="n">
        <v>0.22549</v>
      </c>
      <c r="F910" t="n">
        <v>0.240689</v>
      </c>
      <c r="G910" t="n">
        <v>0.904305</v>
      </c>
      <c r="H910" t="n">
        <v>0.838466</v>
      </c>
      <c r="I910" t="n">
        <v>0.345221</v>
      </c>
      <c r="J910" t="n">
        <v>0.596221</v>
      </c>
      <c r="K910" t="n">
        <v>0</v>
      </c>
      <c r="L910" t="n">
        <v>0.3</v>
      </c>
      <c r="M910" t="n">
        <v>0.308204</v>
      </c>
    </row>
    <row r="911">
      <c r="A911" t="inlineStr">
        <is>
          <t>init-normal</t>
        </is>
      </c>
      <c r="B911" t="n">
        <v>15</v>
      </c>
      <c r="C911" t="n">
        <v>0.215167</v>
      </c>
      <c r="D911" t="n">
        <v>0.913591</v>
      </c>
      <c r="E911" t="n">
        <v>0.221645</v>
      </c>
      <c r="F911" t="n">
        <v>0.235519</v>
      </c>
      <c r="G911" t="n">
        <v>0.90622</v>
      </c>
      <c r="H911" t="n">
        <v>0.8514930000000001</v>
      </c>
      <c r="I911" t="n">
        <v>0.345278</v>
      </c>
      <c r="J911" t="n">
        <v>0.614469</v>
      </c>
      <c r="K911" t="n">
        <v>0</v>
      </c>
      <c r="L911" t="n">
        <v>0.3</v>
      </c>
      <c r="M911" t="n">
        <v>0.313407</v>
      </c>
    </row>
    <row r="912">
      <c r="A912" t="inlineStr">
        <is>
          <t>init-normal</t>
        </is>
      </c>
      <c r="B912" t="n">
        <v>16</v>
      </c>
      <c r="C912" t="n">
        <v>0.198531</v>
      </c>
      <c r="D912" t="n">
        <v>0.920145</v>
      </c>
      <c r="E912" t="n">
        <v>0.217977</v>
      </c>
      <c r="F912" t="n">
        <v>0.22016</v>
      </c>
      <c r="G912" t="n">
        <v>0.913319</v>
      </c>
      <c r="H912" t="n">
        <v>0.86025</v>
      </c>
      <c r="I912" t="n">
        <v>0.346033</v>
      </c>
      <c r="J912" t="n">
        <v>0.515082</v>
      </c>
      <c r="K912" t="n">
        <v>0</v>
      </c>
      <c r="L912" t="n">
        <v>0.3</v>
      </c>
      <c r="M912" t="n">
        <v>0.323189</v>
      </c>
    </row>
    <row r="913">
      <c r="A913" t="inlineStr">
        <is>
          <t>init-normal</t>
        </is>
      </c>
      <c r="B913" t="n">
        <v>17</v>
      </c>
      <c r="C913" t="n">
        <v>0.202149</v>
      </c>
      <c r="D913" t="n">
        <v>0.918499</v>
      </c>
      <c r="E913" t="n">
        <v>0.212059</v>
      </c>
      <c r="F913" t="n">
        <v>0.222405</v>
      </c>
      <c r="G913" t="n">
        <v>0.911071</v>
      </c>
      <c r="H913" t="n">
        <v>0.860182</v>
      </c>
      <c r="I913" t="n">
        <v>0.343559</v>
      </c>
      <c r="J913" t="n">
        <v>0.596208</v>
      </c>
      <c r="K913" t="n">
        <v>0</v>
      </c>
      <c r="L913" t="n">
        <v>0.3</v>
      </c>
      <c r="M913" t="n">
        <v>0.317</v>
      </c>
    </row>
    <row r="914">
      <c r="A914" t="inlineStr">
        <is>
          <t>init-normal</t>
        </is>
      </c>
      <c r="B914" t="n">
        <v>18</v>
      </c>
      <c r="C914" t="n">
        <v>0.193558</v>
      </c>
      <c r="D914" t="n">
        <v>0.922732</v>
      </c>
      <c r="E914" t="n">
        <v>0.210253</v>
      </c>
      <c r="F914" t="n">
        <v>0.214766</v>
      </c>
      <c r="G914" t="n">
        <v>0.915299</v>
      </c>
      <c r="H914" t="n">
        <v>0.86533</v>
      </c>
      <c r="I914" t="n">
        <v>0.343971</v>
      </c>
      <c r="J914" t="n">
        <v>0.730165</v>
      </c>
      <c r="K914" t="n">
        <v>0</v>
      </c>
      <c r="L914" t="n">
        <v>0.3</v>
      </c>
      <c r="M914" t="n">
        <v>0.316751</v>
      </c>
    </row>
    <row r="915">
      <c r="A915" t="inlineStr">
        <is>
          <t>init-normal</t>
        </is>
      </c>
      <c r="B915" t="n">
        <v>19</v>
      </c>
      <c r="C915" t="n">
        <v>0.214177</v>
      </c>
      <c r="D915" t="n">
        <v>0.913429</v>
      </c>
      <c r="E915" t="n">
        <v>0.208524</v>
      </c>
      <c r="F915" t="n">
        <v>0.238225</v>
      </c>
      <c r="G915" t="n">
        <v>0.905295</v>
      </c>
      <c r="H915" t="n">
        <v>0.858001</v>
      </c>
      <c r="I915" t="n">
        <v>0.344756</v>
      </c>
      <c r="J915" t="n">
        <v>0.688243</v>
      </c>
      <c r="K915" t="n">
        <v>0</v>
      </c>
      <c r="L915" t="n">
        <v>0.3</v>
      </c>
      <c r="M915" t="n">
        <v>0.319792</v>
      </c>
    </row>
    <row r="916">
      <c r="A916" t="inlineStr">
        <is>
          <t>init-normal</t>
        </is>
      </c>
      <c r="B916" t="n">
        <v>20</v>
      </c>
      <c r="C916" t="n">
        <v>0.188859</v>
      </c>
      <c r="D916" t="n">
        <v>0.924571</v>
      </c>
      <c r="E916" t="n">
        <v>0.203698</v>
      </c>
      <c r="F916" t="n">
        <v>0.215358</v>
      </c>
      <c r="G916" t="n">
        <v>0.9154060000000001</v>
      </c>
      <c r="H916" t="n">
        <v>0.8634810000000001</v>
      </c>
      <c r="I916" t="n">
        <v>0.342919</v>
      </c>
      <c r="J916" t="n">
        <v>0.655372</v>
      </c>
      <c r="K916" t="n">
        <v>0</v>
      </c>
      <c r="L916" t="n">
        <v>0.3</v>
      </c>
      <c r="M916" t="n">
        <v>0.308068</v>
      </c>
    </row>
    <row r="917">
      <c r="A917" t="inlineStr">
        <is>
          <t>init-xavier</t>
        </is>
      </c>
      <c r="B917" t="n">
        <v>1</v>
      </c>
      <c r="C917" t="n">
        <v>0.432167</v>
      </c>
      <c r="D917" t="n">
        <v>0.814152</v>
      </c>
      <c r="E917" t="n">
        <v>0.532412</v>
      </c>
      <c r="F917" t="n">
        <v>0.436</v>
      </c>
      <c r="G917" t="n">
        <v>0.811353</v>
      </c>
      <c r="H917" t="n">
        <v>0.664533</v>
      </c>
      <c r="I917" t="n">
        <v>0.386904</v>
      </c>
      <c r="J917" t="n">
        <v>1.236191</v>
      </c>
      <c r="K917" t="n">
        <v>0</v>
      </c>
      <c r="L917" t="n">
        <v>0.3</v>
      </c>
      <c r="M917" t="n">
        <v>0.305816</v>
      </c>
    </row>
    <row r="918">
      <c r="A918" t="inlineStr">
        <is>
          <t>init-xavier</t>
        </is>
      </c>
      <c r="B918" t="n">
        <v>2</v>
      </c>
      <c r="C918" t="n">
        <v>0.382871</v>
      </c>
      <c r="D918" t="n">
        <v>0.840537</v>
      </c>
      <c r="E918" t="n">
        <v>0.408059</v>
      </c>
      <c r="F918" t="n">
        <v>0.389845</v>
      </c>
      <c r="G918" t="n">
        <v>0.836148</v>
      </c>
      <c r="H918" t="n">
        <v>0.717233</v>
      </c>
      <c r="I918" t="n">
        <v>0.37679</v>
      </c>
      <c r="J918" t="n">
        <v>0.684863</v>
      </c>
      <c r="K918" t="n">
        <v>0</v>
      </c>
      <c r="L918" t="n">
        <v>0.3</v>
      </c>
      <c r="M918" t="n">
        <v>0.311894</v>
      </c>
    </row>
    <row r="919">
      <c r="A919" t="inlineStr">
        <is>
          <t>init-xavier</t>
        </is>
      </c>
      <c r="B919" t="n">
        <v>3</v>
      </c>
      <c r="C919" t="n">
        <v>0.340279</v>
      </c>
      <c r="D919" t="n">
        <v>0.85828</v>
      </c>
      <c r="E919" t="n">
        <v>0.35955</v>
      </c>
      <c r="F919" t="n">
        <v>0.349572</v>
      </c>
      <c r="G919" t="n">
        <v>0.854898</v>
      </c>
      <c r="H919" t="n">
        <v>0.742243</v>
      </c>
      <c r="I919" t="n">
        <v>0.374516</v>
      </c>
      <c r="J919" t="n">
        <v>0.624897</v>
      </c>
      <c r="K919" t="n">
        <v>0</v>
      </c>
      <c r="L919" t="n">
        <v>0.3</v>
      </c>
      <c r="M919" t="n">
        <v>0.319435</v>
      </c>
    </row>
    <row r="920">
      <c r="A920" t="inlineStr">
        <is>
          <t>init-xavier</t>
        </is>
      </c>
      <c r="B920" t="n">
        <v>4</v>
      </c>
      <c r="C920" t="n">
        <v>0.321909</v>
      </c>
      <c r="D920" t="n">
        <v>0.867835</v>
      </c>
      <c r="E920" t="n">
        <v>0.329782</v>
      </c>
      <c r="F920" t="n">
        <v>0.331662</v>
      </c>
      <c r="G920" t="n">
        <v>0.863719</v>
      </c>
      <c r="H920" t="n">
        <v>0.784992</v>
      </c>
      <c r="I920" t="n">
        <v>0.367175</v>
      </c>
      <c r="J920" t="n">
        <v>0.62297</v>
      </c>
      <c r="K920" t="n">
        <v>0</v>
      </c>
      <c r="L920" t="n">
        <v>0.3</v>
      </c>
      <c r="M920" t="n">
        <v>0.310759</v>
      </c>
    </row>
    <row r="921">
      <c r="A921" t="inlineStr">
        <is>
          <t>init-xavier</t>
        </is>
      </c>
      <c r="B921" t="n">
        <v>5</v>
      </c>
      <c r="C921" t="n">
        <v>0.306098</v>
      </c>
      <c r="D921" t="n">
        <v>0.874489</v>
      </c>
      <c r="E921" t="n">
        <v>0.308152</v>
      </c>
      <c r="F921" t="n">
        <v>0.317431</v>
      </c>
      <c r="G921" t="n">
        <v>0.86971</v>
      </c>
      <c r="H921" t="n">
        <v>0.78306</v>
      </c>
      <c r="I921" t="n">
        <v>0.363834</v>
      </c>
      <c r="J921" t="n">
        <v>0.630629</v>
      </c>
      <c r="K921" t="n">
        <v>0</v>
      </c>
      <c r="L921" t="n">
        <v>0.3</v>
      </c>
      <c r="M921" t="n">
        <v>0.309778</v>
      </c>
    </row>
    <row r="922">
      <c r="A922" t="inlineStr">
        <is>
          <t>init-xavier</t>
        </is>
      </c>
      <c r="B922" t="n">
        <v>6</v>
      </c>
      <c r="C922" t="n">
        <v>0.304269</v>
      </c>
      <c r="D922" t="n">
        <v>0.874567</v>
      </c>
      <c r="E922" t="n">
        <v>0.293632</v>
      </c>
      <c r="F922" t="n">
        <v>0.317647</v>
      </c>
      <c r="G922" t="n">
        <v>0.869968</v>
      </c>
      <c r="H922" t="n">
        <v>0.807701</v>
      </c>
      <c r="I922" t="n">
        <v>0.363814</v>
      </c>
      <c r="J922" t="n">
        <v>0.760227</v>
      </c>
      <c r="K922" t="n">
        <v>0</v>
      </c>
      <c r="L922" t="n">
        <v>0.3</v>
      </c>
      <c r="M922" t="n">
        <v>0.309551</v>
      </c>
    </row>
    <row r="923">
      <c r="A923" t="inlineStr">
        <is>
          <t>init-xavier</t>
        </is>
      </c>
      <c r="B923" t="n">
        <v>7</v>
      </c>
      <c r="C923" t="n">
        <v>0.302732</v>
      </c>
      <c r="D923" t="n">
        <v>0.878205</v>
      </c>
      <c r="E923" t="n">
        <v>0.280978</v>
      </c>
      <c r="F923" t="n">
        <v>0.315683</v>
      </c>
      <c r="G923" t="n">
        <v>0.8732490000000001</v>
      </c>
      <c r="H923" t="n">
        <v>0.775516</v>
      </c>
      <c r="I923" t="n">
        <v>0.361968</v>
      </c>
      <c r="J923" t="n">
        <v>0.5429079999999999</v>
      </c>
      <c r="K923" t="n">
        <v>0</v>
      </c>
      <c r="L923" t="n">
        <v>0.3</v>
      </c>
      <c r="M923" t="n">
        <v>0.330684</v>
      </c>
    </row>
    <row r="924">
      <c r="A924" t="inlineStr">
        <is>
          <t>init-xavier</t>
        </is>
      </c>
      <c r="B924" t="n">
        <v>8</v>
      </c>
      <c r="C924" t="n">
        <v>0.272977</v>
      </c>
      <c r="D924" t="n">
        <v>0.888427</v>
      </c>
      <c r="E924" t="n">
        <v>0.270379</v>
      </c>
      <c r="F924" t="n">
        <v>0.288047</v>
      </c>
      <c r="G924" t="n">
        <v>0.882984</v>
      </c>
      <c r="H924" t="n">
        <v>0.825638</v>
      </c>
      <c r="I924" t="n">
        <v>0.354113</v>
      </c>
      <c r="J924" t="n">
        <v>0.735719</v>
      </c>
      <c r="K924" t="n">
        <v>0</v>
      </c>
      <c r="L924" t="n">
        <v>0.3</v>
      </c>
      <c r="M924" t="n">
        <v>0.311759</v>
      </c>
    </row>
    <row r="925">
      <c r="A925" t="inlineStr">
        <is>
          <t>init-xavier</t>
        </is>
      </c>
      <c r="B925" t="n">
        <v>9</v>
      </c>
      <c r="C925" t="n">
        <v>0.24022</v>
      </c>
      <c r="D925" t="n">
        <v>0.902882</v>
      </c>
      <c r="E925" t="n">
        <v>0.260492</v>
      </c>
      <c r="F925" t="n">
        <v>0.257559</v>
      </c>
      <c r="G925" t="n">
        <v>0.897205</v>
      </c>
      <c r="H925" t="n">
        <v>0.829338</v>
      </c>
      <c r="I925" t="n">
        <v>0.354584</v>
      </c>
      <c r="J925" t="n">
        <v>0.540185</v>
      </c>
      <c r="K925" t="n">
        <v>0</v>
      </c>
      <c r="L925" t="n">
        <v>0.3</v>
      </c>
      <c r="M925" t="n">
        <v>0.309624</v>
      </c>
    </row>
    <row r="926">
      <c r="A926" t="inlineStr">
        <is>
          <t>init-xavier</t>
        </is>
      </c>
      <c r="B926" t="n">
        <v>10</v>
      </c>
      <c r="C926" t="n">
        <v>0.245956</v>
      </c>
      <c r="D926" t="n">
        <v>0.900182</v>
      </c>
      <c r="E926" t="n">
        <v>0.253129</v>
      </c>
      <c r="F926" t="n">
        <v>0.261958</v>
      </c>
      <c r="G926" t="n">
        <v>0.894226</v>
      </c>
      <c r="H926" t="n">
        <v>0.823989</v>
      </c>
      <c r="I926" t="n">
        <v>0.352344</v>
      </c>
      <c r="J926" t="n">
        <v>0.72109</v>
      </c>
      <c r="K926" t="n">
        <v>0</v>
      </c>
      <c r="L926" t="n">
        <v>0.3</v>
      </c>
      <c r="M926" t="n">
        <v>0.32097</v>
      </c>
    </row>
    <row r="927">
      <c r="A927" t="inlineStr">
        <is>
          <t>init-xavier</t>
        </is>
      </c>
      <c r="B927" t="n">
        <v>11</v>
      </c>
      <c r="C927" t="n">
        <v>0.232914</v>
      </c>
      <c r="D927" t="n">
        <v>0.90441</v>
      </c>
      <c r="E927" t="n">
        <v>0.243743</v>
      </c>
      <c r="F927" t="n">
        <v>0.251225</v>
      </c>
      <c r="G927" t="n">
        <v>0.898163</v>
      </c>
      <c r="H927" t="n">
        <v>0.836286</v>
      </c>
      <c r="I927" t="n">
        <v>0.347709</v>
      </c>
      <c r="J927" t="n">
        <v>0.641168</v>
      </c>
      <c r="K927" t="n">
        <v>0</v>
      </c>
      <c r="L927" t="n">
        <v>0.3</v>
      </c>
      <c r="M927" t="n">
        <v>0.315256</v>
      </c>
    </row>
    <row r="928">
      <c r="A928" t="inlineStr">
        <is>
          <t>init-xavier</t>
        </is>
      </c>
      <c r="B928" t="n">
        <v>12</v>
      </c>
      <c r="C928" t="n">
        <v>0.231339</v>
      </c>
      <c r="D928" t="n">
        <v>0.905531</v>
      </c>
      <c r="E928" t="n">
        <v>0.238734</v>
      </c>
      <c r="F928" t="n">
        <v>0.252016</v>
      </c>
      <c r="G928" t="n">
        <v>0.898679</v>
      </c>
      <c r="H928" t="n">
        <v>0.825169</v>
      </c>
      <c r="I928" t="n">
        <v>0.345996</v>
      </c>
      <c r="J928" t="n">
        <v>0.799963</v>
      </c>
      <c r="K928" t="n">
        <v>0</v>
      </c>
      <c r="L928" t="n">
        <v>0.3</v>
      </c>
      <c r="M928" t="n">
        <v>0.311627</v>
      </c>
    </row>
    <row r="929">
      <c r="A929" t="inlineStr">
        <is>
          <t>init-xavier</t>
        </is>
      </c>
      <c r="B929" t="n">
        <v>13</v>
      </c>
      <c r="C929" t="n">
        <v>0.227749</v>
      </c>
      <c r="D929" t="n">
        <v>0.906951</v>
      </c>
      <c r="E929" t="n">
        <v>0.233931</v>
      </c>
      <c r="F929" t="n">
        <v>0.247482</v>
      </c>
      <c r="G929" t="n">
        <v>0.899454</v>
      </c>
      <c r="H929" t="n">
        <v>0.84376</v>
      </c>
      <c r="I929" t="n">
        <v>0.347718</v>
      </c>
      <c r="J929" t="n">
        <v>0.652576</v>
      </c>
      <c r="K929" t="n">
        <v>0</v>
      </c>
      <c r="L929" t="n">
        <v>0.3</v>
      </c>
      <c r="M929" t="n">
        <v>0.412418</v>
      </c>
    </row>
    <row r="930">
      <c r="A930" t="inlineStr">
        <is>
          <t>init-xavier</t>
        </is>
      </c>
      <c r="B930" t="n">
        <v>14</v>
      </c>
      <c r="C930" t="n">
        <v>0.220262</v>
      </c>
      <c r="D930" t="n">
        <v>0.911544</v>
      </c>
      <c r="E930" t="n">
        <v>0.228078</v>
      </c>
      <c r="F930" t="n">
        <v>0.242466</v>
      </c>
      <c r="G930" t="n">
        <v>0.903939</v>
      </c>
      <c r="H930" t="n">
        <v>0.8441070000000001</v>
      </c>
      <c r="I930" t="n">
        <v>0.344198</v>
      </c>
      <c r="J930" t="n">
        <v>0.5486259999999999</v>
      </c>
      <c r="K930" t="n">
        <v>0</v>
      </c>
      <c r="L930" t="n">
        <v>0.3</v>
      </c>
      <c r="M930" t="n">
        <v>0.321887</v>
      </c>
    </row>
    <row r="931">
      <c r="A931" t="inlineStr">
        <is>
          <t>init-xavier</t>
        </is>
      </c>
      <c r="B931" t="n">
        <v>15</v>
      </c>
      <c r="C931" t="n">
        <v>0.21384</v>
      </c>
      <c r="D931" t="n">
        <v>0.912846</v>
      </c>
      <c r="E931" t="n">
        <v>0.223127</v>
      </c>
      <c r="F931" t="n">
        <v>0.235678</v>
      </c>
      <c r="G931" t="n">
        <v>0.905348</v>
      </c>
      <c r="H931" t="n">
        <v>0.843495</v>
      </c>
      <c r="I931" t="n">
        <v>0.343348</v>
      </c>
      <c r="J931" t="n">
        <v>0.541415</v>
      </c>
      <c r="K931" t="n">
        <v>0</v>
      </c>
      <c r="L931" t="n">
        <v>0.3</v>
      </c>
      <c r="M931" t="n">
        <v>0.323692</v>
      </c>
    </row>
    <row r="932">
      <c r="A932" t="inlineStr">
        <is>
          <t>init-xavier</t>
        </is>
      </c>
      <c r="B932" t="n">
        <v>16</v>
      </c>
      <c r="C932" t="n">
        <v>0.205164</v>
      </c>
      <c r="D932" t="n">
        <v>0.916737</v>
      </c>
      <c r="E932" t="n">
        <v>0.219549</v>
      </c>
      <c r="F932" t="n">
        <v>0.226471</v>
      </c>
      <c r="G932" t="n">
        <v>0.90992</v>
      </c>
      <c r="H932" t="n">
        <v>0.855737</v>
      </c>
      <c r="I932" t="n">
        <v>0.345912</v>
      </c>
      <c r="J932" t="n">
        <v>0.658787</v>
      </c>
      <c r="K932" t="n">
        <v>0</v>
      </c>
      <c r="L932" t="n">
        <v>0.3</v>
      </c>
      <c r="M932" t="n">
        <v>0.314725</v>
      </c>
    </row>
    <row r="933">
      <c r="A933" t="inlineStr">
        <is>
          <t>init-xavier</t>
        </is>
      </c>
      <c r="B933" t="n">
        <v>17</v>
      </c>
      <c r="C933" t="n">
        <v>0.210309</v>
      </c>
      <c r="D933" t="n">
        <v>0.914771</v>
      </c>
      <c r="E933" t="n">
        <v>0.214742</v>
      </c>
      <c r="F933" t="n">
        <v>0.234444</v>
      </c>
      <c r="G933" t="n">
        <v>0.905983</v>
      </c>
      <c r="H933" t="n">
        <v>0.843813</v>
      </c>
      <c r="I933" t="n">
        <v>0.341324</v>
      </c>
      <c r="J933" t="n">
        <v>0.767286</v>
      </c>
      <c r="K933" t="n">
        <v>0</v>
      </c>
      <c r="L933" t="n">
        <v>0.3</v>
      </c>
      <c r="M933" t="n">
        <v>0.315268</v>
      </c>
    </row>
    <row r="934">
      <c r="A934" t="inlineStr">
        <is>
          <t>init-xavier</t>
        </is>
      </c>
      <c r="B934" t="n">
        <v>18</v>
      </c>
      <c r="C934" t="n">
        <v>0.202888</v>
      </c>
      <c r="D934" t="n">
        <v>0.9184290000000001</v>
      </c>
      <c r="E934" t="n">
        <v>0.211962</v>
      </c>
      <c r="F934" t="n">
        <v>0.226251</v>
      </c>
      <c r="G934" t="n">
        <v>0.910824</v>
      </c>
      <c r="H934" t="n">
        <v>0.8567709999999999</v>
      </c>
      <c r="I934" t="n">
        <v>0.338803</v>
      </c>
      <c r="J934" t="n">
        <v>0.720687</v>
      </c>
      <c r="K934" t="n">
        <v>0</v>
      </c>
      <c r="L934" t="n">
        <v>0.3</v>
      </c>
      <c r="M934" t="n">
        <v>0.322997</v>
      </c>
    </row>
    <row r="935">
      <c r="A935" t="inlineStr">
        <is>
          <t>init-xavier</t>
        </is>
      </c>
      <c r="B935" t="n">
        <v>19</v>
      </c>
      <c r="C935" t="n">
        <v>0.214372</v>
      </c>
      <c r="D935" t="n">
        <v>0.911663</v>
      </c>
      <c r="E935" t="n">
        <v>0.209035</v>
      </c>
      <c r="F935" t="n">
        <v>0.240021</v>
      </c>
      <c r="G935" t="n">
        <v>0.9032829999999999</v>
      </c>
      <c r="H935" t="n">
        <v>0.85522</v>
      </c>
      <c r="I935" t="n">
        <v>0.343144</v>
      </c>
      <c r="J935" t="n">
        <v>0.718087</v>
      </c>
      <c r="K935" t="n">
        <v>0</v>
      </c>
      <c r="L935" t="n">
        <v>0.3</v>
      </c>
      <c r="M935" t="n">
        <v>0.312909</v>
      </c>
    </row>
    <row r="936">
      <c r="A936" t="inlineStr">
        <is>
          <t>init-xavier</t>
        </is>
      </c>
      <c r="B936" t="n">
        <v>20</v>
      </c>
      <c r="C936" t="n">
        <v>0.194143</v>
      </c>
      <c r="D936" t="n">
        <v>0.921726</v>
      </c>
      <c r="E936" t="n">
        <v>0.204006</v>
      </c>
      <c r="F936" t="n">
        <v>0.218668</v>
      </c>
      <c r="G936" t="n">
        <v>0.912351</v>
      </c>
      <c r="H936" t="n">
        <v>0.853421</v>
      </c>
      <c r="I936" t="n">
        <v>0.338296</v>
      </c>
      <c r="J936" t="n">
        <v>0.596317</v>
      </c>
      <c r="K936" t="n">
        <v>0</v>
      </c>
      <c r="L936" t="n">
        <v>0.3</v>
      </c>
      <c r="M936" t="n">
        <v>0.319106</v>
      </c>
    </row>
    <row r="937">
      <c r="A937" t="inlineStr">
        <is>
          <t>init-default</t>
        </is>
      </c>
      <c r="B937" t="n">
        <v>1</v>
      </c>
      <c r="C937" t="n">
        <v>0.438671</v>
      </c>
      <c r="D937" t="n">
        <v>0.813407</v>
      </c>
      <c r="E937" t="n">
        <v>0.553221</v>
      </c>
      <c r="F937" t="n">
        <v>0.440607</v>
      </c>
      <c r="G937" t="n">
        <v>0.812181</v>
      </c>
      <c r="H937" t="n">
        <v>0.663593</v>
      </c>
      <c r="I937" t="n">
        <v>0.355283</v>
      </c>
      <c r="J937" t="n">
        <v>0.887652</v>
      </c>
      <c r="K937" t="n">
        <v>0</v>
      </c>
      <c r="L937" t="n">
        <v>0.3</v>
      </c>
      <c r="M937" t="n">
        <v>0.307675</v>
      </c>
    </row>
    <row r="938">
      <c r="A938" t="inlineStr">
        <is>
          <t>init-default</t>
        </is>
      </c>
      <c r="B938" t="n">
        <v>2</v>
      </c>
      <c r="C938" t="n">
        <v>0.38837</v>
      </c>
      <c r="D938" t="n">
        <v>0.8376400000000001</v>
      </c>
      <c r="E938" t="n">
        <v>0.41496</v>
      </c>
      <c r="F938" t="n">
        <v>0.395189</v>
      </c>
      <c r="G938" t="n">
        <v>0.833168</v>
      </c>
      <c r="H938" t="n">
        <v>0.714766</v>
      </c>
      <c r="I938" t="n">
        <v>0.370544</v>
      </c>
      <c r="J938" t="n">
        <v>0.653481</v>
      </c>
      <c r="K938" t="n">
        <v>0</v>
      </c>
      <c r="L938" t="n">
        <v>0.3</v>
      </c>
      <c r="M938" t="n">
        <v>0.323147</v>
      </c>
    </row>
    <row r="939">
      <c r="A939" t="inlineStr">
        <is>
          <t>init-default</t>
        </is>
      </c>
      <c r="B939" t="n">
        <v>3</v>
      </c>
      <c r="C939" t="n">
        <v>0.346443</v>
      </c>
      <c r="D939" t="n">
        <v>0.857907</v>
      </c>
      <c r="E939" t="n">
        <v>0.36075</v>
      </c>
      <c r="F939" t="n">
        <v>0.354803</v>
      </c>
      <c r="G939" t="n">
        <v>0.854758</v>
      </c>
      <c r="H939" t="n">
        <v>0.742457</v>
      </c>
      <c r="I939" t="n">
        <v>0.363514</v>
      </c>
      <c r="J939" t="n">
        <v>0.664546</v>
      </c>
      <c r="K939" t="n">
        <v>0</v>
      </c>
      <c r="L939" t="n">
        <v>0.3</v>
      </c>
      <c r="M939" t="n">
        <v>0.31633</v>
      </c>
    </row>
    <row r="940">
      <c r="A940" t="inlineStr">
        <is>
          <t>init-default</t>
        </is>
      </c>
      <c r="B940" t="n">
        <v>4</v>
      </c>
      <c r="C940" t="n">
        <v>0.315258</v>
      </c>
      <c r="D940" t="n">
        <v>0.8697820000000001</v>
      </c>
      <c r="E940" t="n">
        <v>0.330138</v>
      </c>
      <c r="F940" t="n">
        <v>0.324237</v>
      </c>
      <c r="G940" t="n">
        <v>0.864999</v>
      </c>
      <c r="H940" t="n">
        <v>0.782193</v>
      </c>
      <c r="I940" t="n">
        <v>0.362018</v>
      </c>
      <c r="J940" t="n">
        <v>0.6096549999999999</v>
      </c>
      <c r="K940" t="n">
        <v>0</v>
      </c>
      <c r="L940" t="n">
        <v>0.3</v>
      </c>
      <c r="M940" t="n">
        <v>0.317392</v>
      </c>
    </row>
    <row r="941">
      <c r="A941" t="inlineStr">
        <is>
          <t>init-default</t>
        </is>
      </c>
      <c r="B941" t="n">
        <v>5</v>
      </c>
      <c r="C941" t="n">
        <v>0.293613</v>
      </c>
      <c r="D941" t="n">
        <v>0.879044</v>
      </c>
      <c r="E941" t="n">
        <v>0.306716</v>
      </c>
      <c r="F941" t="n">
        <v>0.30399</v>
      </c>
      <c r="G941" t="n">
        <v>0.873992</v>
      </c>
      <c r="H941" t="n">
        <v>0.791508</v>
      </c>
      <c r="I941" t="n">
        <v>0.358213</v>
      </c>
      <c r="J941" t="n">
        <v>0.658704</v>
      </c>
      <c r="K941" t="n">
        <v>0</v>
      </c>
      <c r="L941" t="n">
        <v>0.3</v>
      </c>
      <c r="M941" t="n">
        <v>0.316509</v>
      </c>
    </row>
    <row r="942">
      <c r="A942" t="inlineStr">
        <is>
          <t>init-default</t>
        </is>
      </c>
      <c r="B942" t="n">
        <v>6</v>
      </c>
      <c r="C942" t="n">
        <v>0.293915</v>
      </c>
      <c r="D942" t="n">
        <v>0.879278</v>
      </c>
      <c r="E942" t="n">
        <v>0.291336</v>
      </c>
      <c r="F942" t="n">
        <v>0.305567</v>
      </c>
      <c r="G942" t="n">
        <v>0.875239</v>
      </c>
      <c r="H942" t="n">
        <v>0.810123</v>
      </c>
      <c r="I942" t="n">
        <v>0.35681</v>
      </c>
      <c r="J942" t="n">
        <v>0.70623</v>
      </c>
      <c r="K942" t="n">
        <v>0</v>
      </c>
      <c r="L942" t="n">
        <v>0.3</v>
      </c>
      <c r="M942" t="n">
        <v>0.315691</v>
      </c>
    </row>
    <row r="943">
      <c r="A943" t="inlineStr">
        <is>
          <t>init-default</t>
        </is>
      </c>
      <c r="B943" t="n">
        <v>7</v>
      </c>
      <c r="C943" t="n">
        <v>0.284506</v>
      </c>
      <c r="D943" t="n">
        <v>0.883786</v>
      </c>
      <c r="E943" t="n">
        <v>0.277861</v>
      </c>
      <c r="F943" t="n">
        <v>0.298791</v>
      </c>
      <c r="G943" t="n">
        <v>0.877843</v>
      </c>
      <c r="H943" t="n">
        <v>0.78859</v>
      </c>
      <c r="I943" t="n">
        <v>0.354409</v>
      </c>
      <c r="J943" t="n">
        <v>0.607895</v>
      </c>
      <c r="K943" t="n">
        <v>0</v>
      </c>
      <c r="L943" t="n">
        <v>0.3</v>
      </c>
      <c r="M943" t="n">
        <v>0.316642</v>
      </c>
    </row>
    <row r="944">
      <c r="A944" t="inlineStr">
        <is>
          <t>init-default</t>
        </is>
      </c>
      <c r="B944" t="n">
        <v>8</v>
      </c>
      <c r="C944" t="n">
        <v>0.25911</v>
      </c>
      <c r="D944" t="n">
        <v>0.89411</v>
      </c>
      <c r="E944" t="n">
        <v>0.267907</v>
      </c>
      <c r="F944" t="n">
        <v>0.273287</v>
      </c>
      <c r="G944" t="n">
        <v>0.88889</v>
      </c>
      <c r="H944" t="n">
        <v>0.8271230000000001</v>
      </c>
      <c r="I944" t="n">
        <v>0.351434</v>
      </c>
      <c r="J944" t="n">
        <v>0.62981</v>
      </c>
      <c r="K944" t="n">
        <v>0</v>
      </c>
      <c r="L944" t="n">
        <v>0.3</v>
      </c>
      <c r="M944" t="n">
        <v>0.316542</v>
      </c>
    </row>
    <row r="945">
      <c r="A945" t="inlineStr">
        <is>
          <t>init-default</t>
        </is>
      </c>
      <c r="B945" t="n">
        <v>9</v>
      </c>
      <c r="C945" t="n">
        <v>0.246291</v>
      </c>
      <c r="D945" t="n">
        <v>0.899152</v>
      </c>
      <c r="E945" t="n">
        <v>0.258228</v>
      </c>
      <c r="F945" t="n">
        <v>0.264005</v>
      </c>
      <c r="G945" t="n">
        <v>0.892956</v>
      </c>
      <c r="H945" t="n">
        <v>0.822713</v>
      </c>
      <c r="I945" t="n">
        <v>0.352173</v>
      </c>
      <c r="J945" t="n">
        <v>0.615884</v>
      </c>
      <c r="K945" t="n">
        <v>0</v>
      </c>
      <c r="L945" t="n">
        <v>0.3</v>
      </c>
      <c r="M945" t="n">
        <v>0.312989</v>
      </c>
    </row>
    <row r="946">
      <c r="A946" t="inlineStr">
        <is>
          <t>init-default</t>
        </is>
      </c>
      <c r="B946" t="n">
        <v>10</v>
      </c>
      <c r="C946" t="n">
        <v>0.246783</v>
      </c>
      <c r="D946" t="n">
        <v>0.901419</v>
      </c>
      <c r="E946" t="n">
        <v>0.24935</v>
      </c>
      <c r="F946" t="n">
        <v>0.262613</v>
      </c>
      <c r="G946" t="n">
        <v>0.895387</v>
      </c>
      <c r="H946" t="n">
        <v>0.829723</v>
      </c>
      <c r="I946" t="n">
        <v>0.349328</v>
      </c>
      <c r="J946" t="n">
        <v>0.826064</v>
      </c>
      <c r="K946" t="n">
        <v>0</v>
      </c>
      <c r="L946" t="n">
        <v>0.3</v>
      </c>
      <c r="M946" t="n">
        <v>0.318175</v>
      </c>
    </row>
    <row r="947">
      <c r="A947" t="inlineStr">
        <is>
          <t>init-default</t>
        </is>
      </c>
      <c r="B947" t="n">
        <v>11</v>
      </c>
      <c r="C947" t="n">
        <v>0.227155</v>
      </c>
      <c r="D947" t="n">
        <v>0.90715</v>
      </c>
      <c r="E947" t="n">
        <v>0.241446</v>
      </c>
      <c r="F947" t="n">
        <v>0.244267</v>
      </c>
      <c r="G947" t="n">
        <v>0.9021</v>
      </c>
      <c r="H947" t="n">
        <v>0.834037</v>
      </c>
      <c r="I947" t="n">
        <v>0.345412</v>
      </c>
      <c r="J947" t="n">
        <v>0.487404</v>
      </c>
      <c r="K947" t="n">
        <v>0</v>
      </c>
      <c r="L947" t="n">
        <v>0.3</v>
      </c>
      <c r="M947" t="n">
        <v>0.312009</v>
      </c>
    </row>
    <row r="948">
      <c r="A948" t="inlineStr">
        <is>
          <t>init-default</t>
        </is>
      </c>
      <c r="B948" t="n">
        <v>12</v>
      </c>
      <c r="C948" t="n">
        <v>0.233411</v>
      </c>
      <c r="D948" t="n">
        <v>0.905512</v>
      </c>
      <c r="E948" t="n">
        <v>0.236347</v>
      </c>
      <c r="F948" t="n">
        <v>0.253776</v>
      </c>
      <c r="G948" t="n">
        <v>0.898862</v>
      </c>
      <c r="H948" t="n">
        <v>0.833542</v>
      </c>
      <c r="I948" t="n">
        <v>0.345577</v>
      </c>
      <c r="J948" t="n">
        <v>0.827054</v>
      </c>
      <c r="K948" t="n">
        <v>0</v>
      </c>
      <c r="L948" t="n">
        <v>0.3</v>
      </c>
      <c r="M948" t="n">
        <v>0.343624</v>
      </c>
    </row>
    <row r="949">
      <c r="A949" t="inlineStr">
        <is>
          <t>init-default</t>
        </is>
      </c>
      <c r="B949" t="n">
        <v>13</v>
      </c>
      <c r="C949" t="n">
        <v>0.215219</v>
      </c>
      <c r="D949" t="n">
        <v>0.911676</v>
      </c>
      <c r="E949" t="n">
        <v>0.231258</v>
      </c>
      <c r="F949" t="n">
        <v>0.235479</v>
      </c>
      <c r="G949" t="n">
        <v>0.904714</v>
      </c>
      <c r="H949" t="n">
        <v>0.847738</v>
      </c>
      <c r="I949" t="n">
        <v>0.344451</v>
      </c>
      <c r="J949" t="n">
        <v>0.5259160000000001</v>
      </c>
      <c r="K949" t="n">
        <v>0</v>
      </c>
      <c r="L949" t="n">
        <v>0.3</v>
      </c>
      <c r="M949" t="n">
        <v>0.340871</v>
      </c>
    </row>
    <row r="950">
      <c r="A950" t="inlineStr">
        <is>
          <t>init-default</t>
        </is>
      </c>
      <c r="B950" t="n">
        <v>14</v>
      </c>
      <c r="C950" t="n">
        <v>0.214385</v>
      </c>
      <c r="D950" t="n">
        <v>0.914817</v>
      </c>
      <c r="E950" t="n">
        <v>0.227853</v>
      </c>
      <c r="F950" t="n">
        <v>0.236472</v>
      </c>
      <c r="G950" t="n">
        <v>0.908199</v>
      </c>
      <c r="H950" t="n">
        <v>0.8537130000000001</v>
      </c>
      <c r="I950" t="n">
        <v>0.345033</v>
      </c>
      <c r="J950" t="n">
        <v>0.575163</v>
      </c>
      <c r="K950" t="n">
        <v>0</v>
      </c>
      <c r="L950" t="n">
        <v>0.3</v>
      </c>
      <c r="M950" t="n">
        <v>0.311669</v>
      </c>
    </row>
    <row r="951">
      <c r="A951" t="inlineStr">
        <is>
          <t>init-default</t>
        </is>
      </c>
      <c r="B951" t="n">
        <v>15</v>
      </c>
      <c r="C951" t="n">
        <v>0.2184</v>
      </c>
      <c r="D951" t="n">
        <v>0.911084</v>
      </c>
      <c r="E951" t="n">
        <v>0.222917</v>
      </c>
      <c r="F951" t="n">
        <v>0.239657</v>
      </c>
      <c r="G951" t="n">
        <v>0.904402</v>
      </c>
      <c r="H951" t="n">
        <v>0.852232</v>
      </c>
      <c r="I951" t="n">
        <v>0.345792</v>
      </c>
      <c r="J951" t="n">
        <v>0.477684</v>
      </c>
      <c r="K951" t="n">
        <v>0</v>
      </c>
      <c r="L951" t="n">
        <v>0.3</v>
      </c>
      <c r="M951" t="n">
        <v>0.315575</v>
      </c>
    </row>
    <row r="952">
      <c r="A952" t="inlineStr">
        <is>
          <t>init-default</t>
        </is>
      </c>
      <c r="B952" t="n">
        <v>16</v>
      </c>
      <c r="C952" t="n">
        <v>0.216033</v>
      </c>
      <c r="D952" t="n">
        <v>0.915124</v>
      </c>
      <c r="E952" t="n">
        <v>0.217522</v>
      </c>
      <c r="F952" t="n">
        <v>0.237524</v>
      </c>
      <c r="G952" t="n">
        <v>0.908317</v>
      </c>
      <c r="H952" t="n">
        <v>0.85181</v>
      </c>
      <c r="I952" t="n">
        <v>0.340396</v>
      </c>
      <c r="J952" t="n">
        <v>0.498655</v>
      </c>
      <c r="K952" t="n">
        <v>0</v>
      </c>
      <c r="L952" t="n">
        <v>0.3</v>
      </c>
      <c r="M952" t="n">
        <v>0.309707</v>
      </c>
    </row>
    <row r="953">
      <c r="A953" t="inlineStr">
        <is>
          <t>init-default</t>
        </is>
      </c>
      <c r="B953" t="n">
        <v>17</v>
      </c>
      <c r="C953" t="n">
        <v>0.211788</v>
      </c>
      <c r="D953" t="n">
        <v>0.914252</v>
      </c>
      <c r="E953" t="n">
        <v>0.216906</v>
      </c>
      <c r="F953" t="n">
        <v>0.235026</v>
      </c>
      <c r="G953" t="n">
        <v>0.905133</v>
      </c>
      <c r="H953" t="n">
        <v>0.84581</v>
      </c>
      <c r="I953" t="n">
        <v>0.346272</v>
      </c>
      <c r="J953" t="n">
        <v>0.7189680000000001</v>
      </c>
      <c r="K953" t="n">
        <v>0</v>
      </c>
      <c r="L953" t="n">
        <v>0.3</v>
      </c>
      <c r="M953" t="n">
        <v>0.322422</v>
      </c>
    </row>
    <row r="954">
      <c r="A954" t="inlineStr">
        <is>
          <t>init-default</t>
        </is>
      </c>
      <c r="B954" t="n">
        <v>18</v>
      </c>
      <c r="C954" t="n">
        <v>0.206239</v>
      </c>
      <c r="D954" t="n">
        <v>0.91717</v>
      </c>
      <c r="E954" t="n">
        <v>0.211105</v>
      </c>
      <c r="F954" t="n">
        <v>0.228349</v>
      </c>
      <c r="G954" t="n">
        <v>0.910964</v>
      </c>
      <c r="H954" t="n">
        <v>0.852143</v>
      </c>
      <c r="I954" t="n">
        <v>0.339849</v>
      </c>
      <c r="J954" t="n">
        <v>0.645899</v>
      </c>
      <c r="K954" t="n">
        <v>0</v>
      </c>
      <c r="L954" t="n">
        <v>0.3</v>
      </c>
      <c r="M954" t="n">
        <v>0.327715</v>
      </c>
    </row>
    <row r="955">
      <c r="A955" t="inlineStr">
        <is>
          <t>init-default</t>
        </is>
      </c>
      <c r="B955" t="n">
        <v>19</v>
      </c>
      <c r="C955" t="n">
        <v>0.202503</v>
      </c>
      <c r="D955" t="n">
        <v>0.918789</v>
      </c>
      <c r="E955" t="n">
        <v>0.208601</v>
      </c>
      <c r="F955" t="n">
        <v>0.22574</v>
      </c>
      <c r="G955" t="n">
        <v>0.911458</v>
      </c>
      <c r="H955" t="n">
        <v>0.857422</v>
      </c>
      <c r="I955" t="n">
        <v>0.338495</v>
      </c>
      <c r="J955" t="n">
        <v>0.63474</v>
      </c>
      <c r="K955" t="n">
        <v>0</v>
      </c>
      <c r="L955" t="n">
        <v>0.3</v>
      </c>
      <c r="M955" t="n">
        <v>0.31461</v>
      </c>
    </row>
    <row r="956">
      <c r="A956" t="inlineStr">
        <is>
          <t>init-default</t>
        </is>
      </c>
      <c r="B956" t="n">
        <v>20</v>
      </c>
      <c r="C956" t="n">
        <v>0.196118</v>
      </c>
      <c r="D956" t="n">
        <v>0.920411</v>
      </c>
      <c r="E956" t="n">
        <v>0.204565</v>
      </c>
      <c r="F956" t="n">
        <v>0.220598</v>
      </c>
      <c r="G956" t="n">
        <v>0.912717</v>
      </c>
      <c r="H956" t="n">
        <v>0.863808</v>
      </c>
      <c r="I956" t="n">
        <v>0.336373</v>
      </c>
      <c r="J956" t="n">
        <v>0.622739</v>
      </c>
      <c r="K956" t="n">
        <v>0</v>
      </c>
      <c r="L956" t="n">
        <v>0.3</v>
      </c>
      <c r="M956" t="n">
        <v>0.306814</v>
      </c>
    </row>
    <row r="957">
      <c r="A957" t="inlineStr">
        <is>
          <t>final-s1</t>
        </is>
      </c>
      <c r="B957" t="n">
        <v>1</v>
      </c>
      <c r="C957" t="n">
        <v>0.428833</v>
      </c>
      <c r="D957" t="n">
        <v>0.819918</v>
      </c>
      <c r="E957" t="n">
        <v>0.527854</v>
      </c>
      <c r="F957" t="n">
        <v>0.432429</v>
      </c>
      <c r="G957" t="n">
        <v>0.818829</v>
      </c>
      <c r="H957" t="n">
        <v>0.668678</v>
      </c>
      <c r="I957" t="n">
        <v>0.612405</v>
      </c>
      <c r="J957" t="n">
        <v>2.871076</v>
      </c>
      <c r="K957" t="n">
        <v>0</v>
      </c>
      <c r="L957" t="n">
        <v>0.002982</v>
      </c>
      <c r="M957" t="n">
        <v>0.48821</v>
      </c>
    </row>
    <row r="958">
      <c r="A958" t="inlineStr">
        <is>
          <t>final-s1</t>
        </is>
      </c>
      <c r="B958" t="n">
        <v>2</v>
      </c>
      <c r="C958" t="n">
        <v>0.369819</v>
      </c>
      <c r="D958" t="n">
        <v>0.845496</v>
      </c>
      <c r="E958" t="n">
        <v>0.399259</v>
      </c>
      <c r="F958" t="n">
        <v>0.376766</v>
      </c>
      <c r="G958" t="n">
        <v>0.842516</v>
      </c>
      <c r="H958" t="n">
        <v>0.747095</v>
      </c>
      <c r="I958" t="n">
        <v>0.636895</v>
      </c>
      <c r="J958" t="n">
        <v>1.60654</v>
      </c>
      <c r="K958" t="n">
        <v>0</v>
      </c>
      <c r="L958" t="n">
        <v>0.002927</v>
      </c>
      <c r="M958" t="n">
        <v>0.499453</v>
      </c>
    </row>
    <row r="959">
      <c r="A959" t="inlineStr">
        <is>
          <t>final-s1</t>
        </is>
      </c>
      <c r="B959" t="n">
        <v>3</v>
      </c>
      <c r="C959" t="n">
        <v>0.33345</v>
      </c>
      <c r="D959" t="n">
        <v>0.86183</v>
      </c>
      <c r="E959" t="n">
        <v>0.350211</v>
      </c>
      <c r="F959" t="n">
        <v>0.341727</v>
      </c>
      <c r="G959" t="n">
        <v>0.858383</v>
      </c>
      <c r="H959" t="n">
        <v>0.75429</v>
      </c>
      <c r="I959" t="n">
        <v>0.648662</v>
      </c>
      <c r="J959" t="n">
        <v>1.607068</v>
      </c>
      <c r="K959" t="n">
        <v>0</v>
      </c>
      <c r="L959" t="n">
        <v>0.002837</v>
      </c>
      <c r="M959" t="n">
        <v>0.505229</v>
      </c>
    </row>
    <row r="960">
      <c r="A960" t="inlineStr">
        <is>
          <t>final-s1</t>
        </is>
      </c>
      <c r="B960" t="n">
        <v>4</v>
      </c>
      <c r="C960" t="n">
        <v>0.30316</v>
      </c>
      <c r="D960" t="n">
        <v>0.874462</v>
      </c>
      <c r="E960" t="n">
        <v>0.318103</v>
      </c>
      <c r="F960" t="n">
        <v>0.312446</v>
      </c>
      <c r="G960" t="n">
        <v>0.871313</v>
      </c>
      <c r="H960" t="n">
        <v>0.798083</v>
      </c>
      <c r="I960" t="n">
        <v>0.66974</v>
      </c>
      <c r="J960" t="n">
        <v>1.615762</v>
      </c>
      <c r="K960" t="n">
        <v>0</v>
      </c>
      <c r="L960" t="n">
        <v>0.002714</v>
      </c>
      <c r="M960" t="n">
        <v>0.484737</v>
      </c>
    </row>
    <row r="961">
      <c r="A961" t="inlineStr">
        <is>
          <t>final-s1</t>
        </is>
      </c>
      <c r="B961" t="n">
        <v>5</v>
      </c>
      <c r="C961" t="n">
        <v>0.281187</v>
      </c>
      <c r="D961" t="n">
        <v>0.885095</v>
      </c>
      <c r="E961" t="n">
        <v>0.293426</v>
      </c>
      <c r="F961" t="n">
        <v>0.293409</v>
      </c>
      <c r="G961" t="n">
        <v>0.88022</v>
      </c>
      <c r="H961" t="n">
        <v>0.798264</v>
      </c>
      <c r="I961" t="n">
        <v>0.660658</v>
      </c>
      <c r="J961" t="n">
        <v>1.304685</v>
      </c>
      <c r="K961" t="n">
        <v>0</v>
      </c>
      <c r="L961" t="n">
        <v>0.002561</v>
      </c>
      <c r="M961" t="n">
        <v>0.489111</v>
      </c>
    </row>
    <row r="962">
      <c r="A962" t="inlineStr">
        <is>
          <t>final-s1</t>
        </is>
      </c>
      <c r="B962" t="n">
        <v>6</v>
      </c>
      <c r="C962" t="n">
        <v>0.277919</v>
      </c>
      <c r="D962" t="n">
        <v>0.88736</v>
      </c>
      <c r="E962" t="n">
        <v>0.276448</v>
      </c>
      <c r="F962" t="n">
        <v>0.29031</v>
      </c>
      <c r="G962" t="n">
        <v>0.882135</v>
      </c>
      <c r="H962" t="n">
        <v>0.8305399999999999</v>
      </c>
      <c r="I962" t="n">
        <v>0.693858</v>
      </c>
      <c r="J962" t="n">
        <v>1.662919</v>
      </c>
      <c r="K962" t="n">
        <v>0</v>
      </c>
      <c r="L962" t="n">
        <v>0.002382</v>
      </c>
      <c r="M962" t="n">
        <v>0.491132</v>
      </c>
    </row>
    <row r="963">
      <c r="A963" t="inlineStr">
        <is>
          <t>final-s1</t>
        </is>
      </c>
      <c r="B963" t="n">
        <v>7</v>
      </c>
      <c r="C963" t="n">
        <v>0.242595</v>
      </c>
      <c r="D963" t="n">
        <v>0.901228</v>
      </c>
      <c r="E963" t="n">
        <v>0.259408</v>
      </c>
      <c r="F963" t="n">
        <v>0.258031</v>
      </c>
      <c r="G963" t="n">
        <v>0.895377</v>
      </c>
      <c r="H963" t="n">
        <v>0.833044</v>
      </c>
      <c r="I963" t="n">
        <v>0.668385</v>
      </c>
      <c r="J963" t="n">
        <v>1.80014</v>
      </c>
      <c r="K963" t="n">
        <v>0</v>
      </c>
      <c r="L963" t="n">
        <v>0.002181</v>
      </c>
      <c r="M963" t="n">
        <v>0.49825</v>
      </c>
    </row>
    <row r="964">
      <c r="A964" t="inlineStr">
        <is>
          <t>final-s1</t>
        </is>
      </c>
      <c r="B964" t="n">
        <v>8</v>
      </c>
      <c r="C964" t="n">
        <v>0.242406</v>
      </c>
      <c r="D964" t="n">
        <v>0.90061</v>
      </c>
      <c r="E964" t="n">
        <v>0.246489</v>
      </c>
      <c r="F964" t="n">
        <v>0.256735</v>
      </c>
      <c r="G964" t="n">
        <v>0.894753</v>
      </c>
      <c r="H964" t="n">
        <v>0.846199</v>
      </c>
      <c r="I964" t="n">
        <v>0.663672</v>
      </c>
      <c r="J964" t="n">
        <v>1.669065</v>
      </c>
      <c r="K964" t="n">
        <v>0</v>
      </c>
      <c r="L964" t="n">
        <v>0.001964</v>
      </c>
      <c r="M964" t="n">
        <v>0.493889</v>
      </c>
    </row>
    <row r="965">
      <c r="A965" t="inlineStr">
        <is>
          <t>final-s1</t>
        </is>
      </c>
      <c r="B965" t="n">
        <v>9</v>
      </c>
      <c r="C965" t="n">
        <v>0.219728</v>
      </c>
      <c r="D965" t="n">
        <v>0.911587</v>
      </c>
      <c r="E965" t="n">
        <v>0.233526</v>
      </c>
      <c r="F965" t="n">
        <v>0.238471</v>
      </c>
      <c r="G965" t="n">
        <v>0.90509</v>
      </c>
      <c r="H965" t="n">
        <v>0.846869</v>
      </c>
      <c r="I965" t="n">
        <v>0.672648</v>
      </c>
      <c r="J965" t="n">
        <v>1.286757</v>
      </c>
      <c r="K965" t="n">
        <v>0</v>
      </c>
      <c r="L965" t="n">
        <v>0.001735</v>
      </c>
      <c r="M965" t="n">
        <v>0.495253</v>
      </c>
    </row>
    <row r="966">
      <c r="A966" t="inlineStr">
        <is>
          <t>final-s1</t>
        </is>
      </c>
      <c r="B966" t="n">
        <v>10</v>
      </c>
      <c r="C966" t="n">
        <v>0.210109</v>
      </c>
      <c r="D966" t="n">
        <v>0.915914</v>
      </c>
      <c r="E966" t="n">
        <v>0.222762</v>
      </c>
      <c r="F966" t="n">
        <v>0.229133</v>
      </c>
      <c r="G966" t="n">
        <v>0.907909</v>
      </c>
      <c r="H966" t="n">
        <v>0.859387</v>
      </c>
      <c r="I966" t="n">
        <v>0.6752320000000001</v>
      </c>
      <c r="J966" t="n">
        <v>1.382855</v>
      </c>
      <c r="K966" t="n">
        <v>0</v>
      </c>
      <c r="L966" t="n">
        <v>0.0015</v>
      </c>
      <c r="M966" t="n">
        <v>0.493106</v>
      </c>
    </row>
    <row r="967">
      <c r="A967" t="inlineStr">
        <is>
          <t>final-s1</t>
        </is>
      </c>
      <c r="B967" t="n">
        <v>11</v>
      </c>
      <c r="C967" t="n">
        <v>0.203374</v>
      </c>
      <c r="D967" t="n">
        <v>0.91869</v>
      </c>
      <c r="E967" t="n">
        <v>0.212026</v>
      </c>
      <c r="F967" t="n">
        <v>0.22479</v>
      </c>
      <c r="G967" t="n">
        <v>0.9095760000000001</v>
      </c>
      <c r="H967" t="n">
        <v>0.856156</v>
      </c>
      <c r="I967" t="n">
        <v>0.645672</v>
      </c>
      <c r="J967" t="n">
        <v>1.183319</v>
      </c>
      <c r="K967" t="n">
        <v>0</v>
      </c>
      <c r="L967" t="n">
        <v>0.001265</v>
      </c>
      <c r="M967" t="n">
        <v>0.496072</v>
      </c>
    </row>
    <row r="968">
      <c r="A968" t="inlineStr">
        <is>
          <t>final-s1</t>
        </is>
      </c>
      <c r="B968" t="n">
        <v>12</v>
      </c>
      <c r="C968" t="n">
        <v>0.195934</v>
      </c>
      <c r="D968" t="n">
        <v>0.921882</v>
      </c>
      <c r="E968" t="n">
        <v>0.203202</v>
      </c>
      <c r="F968" t="n">
        <v>0.218031</v>
      </c>
      <c r="G968" t="n">
        <v>0.912502</v>
      </c>
      <c r="H968" t="n">
        <v>0.864186</v>
      </c>
      <c r="I968" t="n">
        <v>0.6479470000000001</v>
      </c>
      <c r="J968" t="n">
        <v>1.905703</v>
      </c>
      <c r="K968" t="n">
        <v>0</v>
      </c>
      <c r="L968" t="n">
        <v>0.001036</v>
      </c>
      <c r="M968" t="n">
        <v>0.499014</v>
      </c>
    </row>
    <row r="969">
      <c r="A969" t="inlineStr">
        <is>
          <t>final-s1</t>
        </is>
      </c>
      <c r="B969" t="n">
        <v>13</v>
      </c>
      <c r="C969" t="n">
        <v>0.184535</v>
      </c>
      <c r="D969" t="n">
        <v>0.92718</v>
      </c>
      <c r="E969" t="n">
        <v>0.1953</v>
      </c>
      <c r="F969" t="n">
        <v>0.206914</v>
      </c>
      <c r="G969" t="n">
        <v>0.917278</v>
      </c>
      <c r="H969" t="n">
        <v>0.872685</v>
      </c>
      <c r="I969" t="n">
        <v>0.6501980000000001</v>
      </c>
      <c r="J969" t="n">
        <v>1.260411</v>
      </c>
      <c r="K969" t="n">
        <v>0</v>
      </c>
      <c r="L969" t="n">
        <v>0.000819</v>
      </c>
      <c r="M969" t="n">
        <v>0.493081</v>
      </c>
    </row>
    <row r="970">
      <c r="A970" t="inlineStr">
        <is>
          <t>final-s1</t>
        </is>
      </c>
      <c r="B970" t="n">
        <v>14</v>
      </c>
      <c r="C970" t="n">
        <v>0.182068</v>
      </c>
      <c r="D970" t="n">
        <v>0.928608</v>
      </c>
      <c r="E970" t="n">
        <v>0.188057</v>
      </c>
      <c r="F970" t="n">
        <v>0.205316</v>
      </c>
      <c r="G970" t="n">
        <v>0.919225</v>
      </c>
      <c r="H970" t="n">
        <v>0.873205</v>
      </c>
      <c r="I970" t="n">
        <v>0.640801</v>
      </c>
      <c r="J970" t="n">
        <v>1.261328</v>
      </c>
      <c r="K970" t="n">
        <v>0</v>
      </c>
      <c r="L970" t="n">
        <v>0.000618</v>
      </c>
      <c r="M970" t="n">
        <v>0.494441</v>
      </c>
    </row>
    <row r="971">
      <c r="A971" t="inlineStr">
        <is>
          <t>final-s1</t>
        </is>
      </c>
      <c r="B971" t="n">
        <v>15</v>
      </c>
      <c r="C971" t="n">
        <v>0.175306</v>
      </c>
      <c r="D971" t="n">
        <v>0.931504</v>
      </c>
      <c r="E971" t="n">
        <v>0.181955</v>
      </c>
      <c r="F971" t="n">
        <v>0.198749</v>
      </c>
      <c r="G971" t="n">
        <v>0.922</v>
      </c>
      <c r="H971" t="n">
        <v>0.876877</v>
      </c>
      <c r="I971" t="n">
        <v>0.636394</v>
      </c>
      <c r="J971" t="n">
        <v>1.258425</v>
      </c>
      <c r="K971" t="n">
        <v>0</v>
      </c>
      <c r="L971" t="n">
        <v>0.000439</v>
      </c>
      <c r="M971" t="n">
        <v>0.485753</v>
      </c>
    </row>
    <row r="972">
      <c r="A972" t="inlineStr">
        <is>
          <t>final-s1</t>
        </is>
      </c>
      <c r="B972" t="n">
        <v>16</v>
      </c>
      <c r="C972" t="n">
        <v>0.171212</v>
      </c>
      <c r="D972" t="n">
        <v>0.933526</v>
      </c>
      <c r="E972" t="n">
        <v>0.176704</v>
      </c>
      <c r="F972" t="n">
        <v>0.195762</v>
      </c>
      <c r="G972" t="n">
        <v>0.92271</v>
      </c>
      <c r="H972" t="n">
        <v>0.880538</v>
      </c>
      <c r="I972" t="n">
        <v>0.621696</v>
      </c>
      <c r="J972" t="n">
        <v>1.220649</v>
      </c>
      <c r="K972" t="n">
        <v>0</v>
      </c>
      <c r="L972" t="n">
        <v>0.000286</v>
      </c>
      <c r="M972" t="n">
        <v>0.487817</v>
      </c>
    </row>
    <row r="973">
      <c r="A973" t="inlineStr">
        <is>
          <t>final-s1</t>
        </is>
      </c>
      <c r="B973" t="n">
        <v>17</v>
      </c>
      <c r="C973" t="n">
        <v>0.168642</v>
      </c>
      <c r="D973" t="n">
        <v>0.934944</v>
      </c>
      <c r="E973" t="n">
        <v>0.172588</v>
      </c>
      <c r="F973" t="n">
        <v>0.193458</v>
      </c>
      <c r="G973" t="n">
        <v>0.924625</v>
      </c>
      <c r="H973" t="n">
        <v>0.883775</v>
      </c>
      <c r="I973" t="n">
        <v>0.610478</v>
      </c>
      <c r="J973" t="n">
        <v>1.536944</v>
      </c>
      <c r="K973" t="n">
        <v>0</v>
      </c>
      <c r="L973" t="n">
        <v>0.000163</v>
      </c>
      <c r="M973" t="n">
        <v>0.494016</v>
      </c>
    </row>
    <row r="974">
      <c r="A974" t="inlineStr">
        <is>
          <t>final-s1</t>
        </is>
      </c>
      <c r="B974" t="n">
        <v>18</v>
      </c>
      <c r="C974" t="n">
        <v>0.166772</v>
      </c>
      <c r="D974" t="n">
        <v>0.93564</v>
      </c>
      <c r="E974" t="n">
        <v>0.169275</v>
      </c>
      <c r="F974" t="n">
        <v>0.192118</v>
      </c>
      <c r="G974" t="n">
        <v>0.924894</v>
      </c>
      <c r="H974" t="n">
        <v>0.883343</v>
      </c>
      <c r="I974" t="n">
        <v>0.5925</v>
      </c>
      <c r="J974" t="n">
        <v>1.074305</v>
      </c>
      <c r="K974" t="n">
        <v>0</v>
      </c>
      <c r="L974" t="n">
        <v>7.3e-05</v>
      </c>
      <c r="M974" t="n">
        <v>0.490141</v>
      </c>
    </row>
    <row r="975">
      <c r="A975" t="inlineStr">
        <is>
          <t>final-s1</t>
        </is>
      </c>
      <c r="B975" t="n">
        <v>19</v>
      </c>
      <c r="C975" t="n">
        <v>0.165906</v>
      </c>
      <c r="D975" t="n">
        <v>0.936148</v>
      </c>
      <c r="E975" t="n">
        <v>0.167281</v>
      </c>
      <c r="F975" t="n">
        <v>0.191453</v>
      </c>
      <c r="G975" t="n">
        <v>0.9252280000000001</v>
      </c>
      <c r="H975" t="n">
        <v>0.883756</v>
      </c>
      <c r="I975" t="n">
        <v>0.5871769999999999</v>
      </c>
      <c r="J975" t="n">
        <v>1.162679</v>
      </c>
      <c r="K975" t="n">
        <v>0</v>
      </c>
      <c r="L975" t="n">
        <v>1.8e-05</v>
      </c>
      <c r="M975" t="n">
        <v>0.494957</v>
      </c>
    </row>
    <row r="976">
      <c r="A976" t="inlineStr">
        <is>
          <t>final-s1</t>
        </is>
      </c>
      <c r="B976" t="n">
        <v>20</v>
      </c>
      <c r="C976" t="n">
        <v>0.165771</v>
      </c>
      <c r="D976" t="n">
        <v>0.936439</v>
      </c>
      <c r="E976" t="n">
        <v>0.166022</v>
      </c>
      <c r="F976" t="n">
        <v>0.191205</v>
      </c>
      <c r="G976" t="n">
        <v>0.925357</v>
      </c>
      <c r="H976" t="n">
        <v>0.883867</v>
      </c>
      <c r="I976" t="n">
        <v>0.57514</v>
      </c>
      <c r="J976" t="n">
        <v>0.958226</v>
      </c>
      <c r="K976" t="n">
        <v>0</v>
      </c>
      <c r="L976" t="n">
        <v>0</v>
      </c>
      <c r="M976" t="n">
        <v>0.491705</v>
      </c>
    </row>
    <row r="977">
      <c r="A977" t="inlineStr">
        <is>
          <t>final-s2</t>
        </is>
      </c>
      <c r="B977" t="n">
        <v>1</v>
      </c>
      <c r="C977" t="n">
        <v>0.431508</v>
      </c>
      <c r="D977" t="n">
        <v>0.815147</v>
      </c>
      <c r="E977" t="n">
        <v>0.525427</v>
      </c>
      <c r="F977" t="n">
        <v>0.439459</v>
      </c>
      <c r="G977" t="n">
        <v>0.809761</v>
      </c>
      <c r="H977" t="n">
        <v>0.688569</v>
      </c>
      <c r="I977" t="n">
        <v>0.609349</v>
      </c>
      <c r="J977" t="n">
        <v>2.251395</v>
      </c>
      <c r="K977" t="n">
        <v>0</v>
      </c>
      <c r="L977" t="n">
        <v>0.002982</v>
      </c>
      <c r="M977" t="n">
        <v>0.484152</v>
      </c>
    </row>
    <row r="978">
      <c r="A978" t="inlineStr">
        <is>
          <t>final-s2</t>
        </is>
      </c>
      <c r="B978" t="n">
        <v>2</v>
      </c>
      <c r="C978" t="n">
        <v>0.369067</v>
      </c>
      <c r="D978" t="n">
        <v>0.84467</v>
      </c>
      <c r="E978" t="n">
        <v>0.40155</v>
      </c>
      <c r="F978" t="n">
        <v>0.376466</v>
      </c>
      <c r="G978" t="n">
        <v>0.841064</v>
      </c>
      <c r="H978" t="n">
        <v>0.736743</v>
      </c>
      <c r="I978" t="n">
        <v>0.655432</v>
      </c>
      <c r="J978" t="n">
        <v>1.774159</v>
      </c>
      <c r="K978" t="n">
        <v>0</v>
      </c>
      <c r="L978" t="n">
        <v>0.002927</v>
      </c>
      <c r="M978" t="n">
        <v>0.503031</v>
      </c>
    </row>
    <row r="979">
      <c r="A979" t="inlineStr">
        <is>
          <t>final-s2</t>
        </is>
      </c>
      <c r="B979" t="n">
        <v>3</v>
      </c>
      <c r="C979" t="n">
        <v>0.333576</v>
      </c>
      <c r="D979" t="n">
        <v>0.8625890000000001</v>
      </c>
      <c r="E979" t="n">
        <v>0.350793</v>
      </c>
      <c r="F979" t="n">
        <v>0.344189</v>
      </c>
      <c r="G979" t="n">
        <v>0.857985</v>
      </c>
      <c r="H979" t="n">
        <v>0.776864</v>
      </c>
      <c r="I979" t="n">
        <v>0.6541439999999999</v>
      </c>
      <c r="J979" t="n">
        <v>1.381047</v>
      </c>
      <c r="K979" t="n">
        <v>0</v>
      </c>
      <c r="L979" t="n">
        <v>0.002837</v>
      </c>
      <c r="M979" t="n">
        <v>0.503452</v>
      </c>
    </row>
    <row r="980">
      <c r="A980" t="inlineStr">
        <is>
          <t>final-s2</t>
        </is>
      </c>
      <c r="B980" t="n">
        <v>4</v>
      </c>
      <c r="C980" t="n">
        <v>0.297261</v>
      </c>
      <c r="D980" t="n">
        <v>0.877199</v>
      </c>
      <c r="E980" t="n">
        <v>0.316498</v>
      </c>
      <c r="F980" t="n">
        <v>0.308157</v>
      </c>
      <c r="G980" t="n">
        <v>0.872733</v>
      </c>
      <c r="H980" t="n">
        <v>0.810603</v>
      </c>
      <c r="I980" t="n">
        <v>0.637536</v>
      </c>
      <c r="J980" t="n">
        <v>1.449636</v>
      </c>
      <c r="K980" t="n">
        <v>0</v>
      </c>
      <c r="L980" t="n">
        <v>0.002714</v>
      </c>
      <c r="M980" t="n">
        <v>0.49055</v>
      </c>
    </row>
    <row r="981">
      <c r="A981" t="inlineStr">
        <is>
          <t>final-s2</t>
        </is>
      </c>
      <c r="B981" t="n">
        <v>5</v>
      </c>
      <c r="C981" t="n">
        <v>0.276197</v>
      </c>
      <c r="D981" t="n">
        <v>0.887494</v>
      </c>
      <c r="E981" t="n">
        <v>0.294082</v>
      </c>
      <c r="F981" t="n">
        <v>0.28805</v>
      </c>
      <c r="G981" t="n">
        <v>0.882974</v>
      </c>
      <c r="H981" t="n">
        <v>0.826309</v>
      </c>
      <c r="I981" t="n">
        <v>0.658473</v>
      </c>
      <c r="J981" t="n">
        <v>1.459478</v>
      </c>
      <c r="K981" t="n">
        <v>0</v>
      </c>
      <c r="L981" t="n">
        <v>0.002561</v>
      </c>
      <c r="M981" t="n">
        <v>0.489123</v>
      </c>
    </row>
    <row r="982">
      <c r="A982" t="inlineStr">
        <is>
          <t>final-s2</t>
        </is>
      </c>
      <c r="B982" t="n">
        <v>6</v>
      </c>
      <c r="C982" t="n">
        <v>0.262259</v>
      </c>
      <c r="D982" t="n">
        <v>0.893037</v>
      </c>
      <c r="E982" t="n">
        <v>0.275853</v>
      </c>
      <c r="F982" t="n">
        <v>0.274969</v>
      </c>
      <c r="G982" t="n">
        <v>0.887578</v>
      </c>
      <c r="H982" t="n">
        <v>0.820048</v>
      </c>
      <c r="I982" t="n">
        <v>0.668374</v>
      </c>
      <c r="J982" t="n">
        <v>1.701111</v>
      </c>
      <c r="K982" t="n">
        <v>0</v>
      </c>
      <c r="L982" t="n">
        <v>0.002382</v>
      </c>
      <c r="M982" t="n">
        <v>0.492631</v>
      </c>
    </row>
    <row r="983">
      <c r="A983" t="inlineStr">
        <is>
          <t>final-s2</t>
        </is>
      </c>
      <c r="B983" t="n">
        <v>7</v>
      </c>
      <c r="C983" t="n">
        <v>0.244275</v>
      </c>
      <c r="D983" t="n">
        <v>0.900755</v>
      </c>
      <c r="E983" t="n">
        <v>0.261142</v>
      </c>
      <c r="F983" t="n">
        <v>0.261833</v>
      </c>
      <c r="G983" t="n">
        <v>0.893419</v>
      </c>
      <c r="H983" t="n">
        <v>0.831461</v>
      </c>
      <c r="I983" t="n">
        <v>0.676009</v>
      </c>
      <c r="J983" t="n">
        <v>1.466317</v>
      </c>
      <c r="K983" t="n">
        <v>0</v>
      </c>
      <c r="L983" t="n">
        <v>0.002181</v>
      </c>
      <c r="M983" t="n">
        <v>0.502</v>
      </c>
    </row>
    <row r="984">
      <c r="A984" t="inlineStr">
        <is>
          <t>final-s2</t>
        </is>
      </c>
      <c r="B984" t="n">
        <v>8</v>
      </c>
      <c r="C984" t="n">
        <v>0.228366</v>
      </c>
      <c r="D984" t="n">
        <v>0.907564</v>
      </c>
      <c r="E984" t="n">
        <v>0.246681</v>
      </c>
      <c r="F984" t="n">
        <v>0.244697</v>
      </c>
      <c r="G984" t="n">
        <v>0.900443</v>
      </c>
      <c r="H984" t="n">
        <v>0.848703</v>
      </c>
      <c r="I984" t="n">
        <v>0.6604</v>
      </c>
      <c r="J984" t="n">
        <v>1.46566</v>
      </c>
      <c r="K984" t="n">
        <v>0</v>
      </c>
      <c r="L984" t="n">
        <v>0.001964</v>
      </c>
      <c r="M984" t="n">
        <v>0.489499</v>
      </c>
    </row>
    <row r="985">
      <c r="A985" t="inlineStr">
        <is>
          <t>final-s2</t>
        </is>
      </c>
      <c r="B985" t="n">
        <v>9</v>
      </c>
      <c r="C985" t="n">
        <v>0.229041</v>
      </c>
      <c r="D985" t="n">
        <v>0.906435</v>
      </c>
      <c r="E985" t="n">
        <v>0.2344</v>
      </c>
      <c r="F985" t="n">
        <v>0.24708</v>
      </c>
      <c r="G985" t="n">
        <v>0.899163</v>
      </c>
      <c r="H985" t="n">
        <v>0.838575</v>
      </c>
      <c r="I985" t="n">
        <v>0.652269</v>
      </c>
      <c r="J985" t="n">
        <v>1.317285</v>
      </c>
      <c r="K985" t="n">
        <v>0</v>
      </c>
      <c r="L985" t="n">
        <v>0.001735</v>
      </c>
      <c r="M985" t="n">
        <v>0.490646</v>
      </c>
    </row>
    <row r="986">
      <c r="A986" t="inlineStr">
        <is>
          <t>final-s2</t>
        </is>
      </c>
      <c r="B986" t="n">
        <v>10</v>
      </c>
      <c r="C986" t="n">
        <v>0.217701</v>
      </c>
      <c r="D986" t="n">
        <v>0.9124100000000001</v>
      </c>
      <c r="E986" t="n">
        <v>0.224232</v>
      </c>
      <c r="F986" t="n">
        <v>0.237207</v>
      </c>
      <c r="G986" t="n">
        <v>0.903724</v>
      </c>
      <c r="H986" t="n">
        <v>0.853504</v>
      </c>
      <c r="I986" t="n">
        <v>0.673067</v>
      </c>
      <c r="J986" t="n">
        <v>1.483695</v>
      </c>
      <c r="K986" t="n">
        <v>0</v>
      </c>
      <c r="L986" t="n">
        <v>0.0015</v>
      </c>
      <c r="M986" t="n">
        <v>0.491054</v>
      </c>
    </row>
    <row r="987">
      <c r="A987" t="inlineStr">
        <is>
          <t>final-s2</t>
        </is>
      </c>
      <c r="B987" t="n">
        <v>11</v>
      </c>
      <c r="C987" t="n">
        <v>0.201352</v>
      </c>
      <c r="D987" t="n">
        <v>0.919857</v>
      </c>
      <c r="E987" t="n">
        <v>0.213775</v>
      </c>
      <c r="F987" t="n">
        <v>0.220715</v>
      </c>
      <c r="G987" t="n">
        <v>0.911308</v>
      </c>
      <c r="H987" t="n">
        <v>0.870154</v>
      </c>
      <c r="I987" t="n">
        <v>0.65743</v>
      </c>
      <c r="J987" t="n">
        <v>1.742294</v>
      </c>
      <c r="K987" t="n">
        <v>0</v>
      </c>
      <c r="L987" t="n">
        <v>0.001265</v>
      </c>
      <c r="M987" t="n">
        <v>0.490958</v>
      </c>
    </row>
    <row r="988">
      <c r="A988" t="inlineStr">
        <is>
          <t>final-s2</t>
        </is>
      </c>
      <c r="B988" t="n">
        <v>12</v>
      </c>
      <c r="C988" t="n">
        <v>0.195222</v>
      </c>
      <c r="D988" t="n">
        <v>0.922183</v>
      </c>
      <c r="E988" t="n">
        <v>0.20574</v>
      </c>
      <c r="F988" t="n">
        <v>0.217316</v>
      </c>
      <c r="G988" t="n">
        <v>0.913201</v>
      </c>
      <c r="H988" t="n">
        <v>0.871366</v>
      </c>
      <c r="I988" t="n">
        <v>0.664788</v>
      </c>
      <c r="J988" t="n">
        <v>1.25393</v>
      </c>
      <c r="K988" t="n">
        <v>0</v>
      </c>
      <c r="L988" t="n">
        <v>0.001036</v>
      </c>
      <c r="M988" t="n">
        <v>0.505905</v>
      </c>
    </row>
    <row r="989">
      <c r="A989" t="inlineStr">
        <is>
          <t>final-s2</t>
        </is>
      </c>
      <c r="B989" t="n">
        <v>13</v>
      </c>
      <c r="C989" t="n">
        <v>0.189059</v>
      </c>
      <c r="D989" t="n">
        <v>0.925133</v>
      </c>
      <c r="E989" t="n">
        <v>0.196406</v>
      </c>
      <c r="F989" t="n">
        <v>0.212153</v>
      </c>
      <c r="G989" t="n">
        <v>0.915611</v>
      </c>
      <c r="H989" t="n">
        <v>0.874732</v>
      </c>
      <c r="I989" t="n">
        <v>0.642149</v>
      </c>
      <c r="J989" t="n">
        <v>1.368271</v>
      </c>
      <c r="K989" t="n">
        <v>0</v>
      </c>
      <c r="L989" t="n">
        <v>0.000819</v>
      </c>
      <c r="M989" t="n">
        <v>0.49055</v>
      </c>
    </row>
    <row r="990">
      <c r="A990" t="inlineStr">
        <is>
          <t>final-s2</t>
        </is>
      </c>
      <c r="B990" t="n">
        <v>14</v>
      </c>
      <c r="C990" t="n">
        <v>0.184345</v>
      </c>
      <c r="D990" t="n">
        <v>0.927166</v>
      </c>
      <c r="E990" t="n">
        <v>0.189515</v>
      </c>
      <c r="F990" t="n">
        <v>0.208439</v>
      </c>
      <c r="G990" t="n">
        <v>0.916998</v>
      </c>
      <c r="H990" t="n">
        <v>0.87658</v>
      </c>
      <c r="I990" t="n">
        <v>0.639815</v>
      </c>
      <c r="J990" t="n">
        <v>1.38555</v>
      </c>
      <c r="K990" t="n">
        <v>0</v>
      </c>
      <c r="L990" t="n">
        <v>0.000618</v>
      </c>
      <c r="M990" t="n">
        <v>0.489277</v>
      </c>
    </row>
    <row r="991">
      <c r="A991" t="inlineStr">
        <is>
          <t>final-s2</t>
        </is>
      </c>
      <c r="B991" t="n">
        <v>15</v>
      </c>
      <c r="C991" t="n">
        <v>0.179364</v>
      </c>
      <c r="D991" t="n">
        <v>0.929245</v>
      </c>
      <c r="E991" t="n">
        <v>0.182921</v>
      </c>
      <c r="F991" t="n">
        <v>0.20386</v>
      </c>
      <c r="G991" t="n">
        <v>0.918397</v>
      </c>
      <c r="H991" t="n">
        <v>0.880319</v>
      </c>
      <c r="I991" t="n">
        <v>0.623158</v>
      </c>
      <c r="J991" t="n">
        <v>1.099331</v>
      </c>
      <c r="K991" t="n">
        <v>0</v>
      </c>
      <c r="L991" t="n">
        <v>0.000439</v>
      </c>
      <c r="M991" t="n">
        <v>0.493042</v>
      </c>
    </row>
    <row r="992">
      <c r="A992" t="inlineStr">
        <is>
          <t>final-s2</t>
        </is>
      </c>
      <c r="B992" t="n">
        <v>16</v>
      </c>
      <c r="C992" t="n">
        <v>0.171903</v>
      </c>
      <c r="D992" t="n">
        <v>0.9331930000000001</v>
      </c>
      <c r="E992" t="n">
        <v>0.177679</v>
      </c>
      <c r="F992" t="n">
        <v>0.196402</v>
      </c>
      <c r="G992" t="n">
        <v>0.9220429999999999</v>
      </c>
      <c r="H992" t="n">
        <v>0.884806</v>
      </c>
      <c r="I992" t="n">
        <v>0.607328</v>
      </c>
      <c r="J992" t="n">
        <v>1.071016</v>
      </c>
      <c r="K992" t="n">
        <v>0</v>
      </c>
      <c r="L992" t="n">
        <v>0.000286</v>
      </c>
      <c r="M992" t="n">
        <v>0.492294</v>
      </c>
    </row>
    <row r="993">
      <c r="A993" t="inlineStr">
        <is>
          <t>final-s2</t>
        </is>
      </c>
      <c r="B993" t="n">
        <v>17</v>
      </c>
      <c r="C993" t="n">
        <v>0.169707</v>
      </c>
      <c r="D993" t="n">
        <v>0.9340270000000001</v>
      </c>
      <c r="E993" t="n">
        <v>0.173528</v>
      </c>
      <c r="F993" t="n">
        <v>0.194858</v>
      </c>
      <c r="G993" t="n">
        <v>0.922581</v>
      </c>
      <c r="H993" t="n">
        <v>0.884078</v>
      </c>
      <c r="I993" t="n">
        <v>0.595553</v>
      </c>
      <c r="J993" t="n">
        <v>1.318484</v>
      </c>
      <c r="K993" t="n">
        <v>0</v>
      </c>
      <c r="L993" t="n">
        <v>0.000163</v>
      </c>
      <c r="M993" t="n">
        <v>0.5118200000000001</v>
      </c>
    </row>
    <row r="994">
      <c r="A994" t="inlineStr">
        <is>
          <t>final-s2</t>
        </is>
      </c>
      <c r="B994" t="n">
        <v>18</v>
      </c>
      <c r="C994" t="n">
        <v>0.167704</v>
      </c>
      <c r="D994" t="n">
        <v>0.935188</v>
      </c>
      <c r="E994" t="n">
        <v>0.170449</v>
      </c>
      <c r="F994" t="n">
        <v>0.193189</v>
      </c>
      <c r="G994" t="n">
        <v>0.923517</v>
      </c>
      <c r="H994" t="n">
        <v>0.8866579999999999</v>
      </c>
      <c r="I994" t="n">
        <v>0.582261</v>
      </c>
      <c r="J994" t="n">
        <v>1.099738</v>
      </c>
      <c r="K994" t="n">
        <v>0</v>
      </c>
      <c r="L994" t="n">
        <v>7.3e-05</v>
      </c>
      <c r="M994" t="n">
        <v>0.536546</v>
      </c>
    </row>
    <row r="995">
      <c r="A995" t="inlineStr">
        <is>
          <t>final-s2</t>
        </is>
      </c>
      <c r="B995" t="n">
        <v>19</v>
      </c>
      <c r="C995" t="n">
        <v>0.167047</v>
      </c>
      <c r="D995" t="n">
        <v>0.935608</v>
      </c>
      <c r="E995" t="n">
        <v>0.168388</v>
      </c>
      <c r="F995" t="n">
        <v>0.192492</v>
      </c>
      <c r="G995" t="n">
        <v>0.923883</v>
      </c>
      <c r="H995" t="n">
        <v>0.885885</v>
      </c>
      <c r="I995" t="n">
        <v>0.573524</v>
      </c>
      <c r="J995" t="n">
        <v>1.292847</v>
      </c>
      <c r="K995" t="n">
        <v>0</v>
      </c>
      <c r="L995" t="n">
        <v>1.8e-05</v>
      </c>
      <c r="M995" t="n">
        <v>0.497621</v>
      </c>
    </row>
    <row r="996">
      <c r="A996" t="inlineStr">
        <is>
          <t>final-s2</t>
        </is>
      </c>
      <c r="B996" t="n">
        <v>20</v>
      </c>
      <c r="C996" t="n">
        <v>0.16694</v>
      </c>
      <c r="D996" t="n">
        <v>0.935535</v>
      </c>
      <c r="E996" t="n">
        <v>0.167192</v>
      </c>
      <c r="F996" t="n">
        <v>0.19238</v>
      </c>
      <c r="G996" t="n">
        <v>0.923937</v>
      </c>
      <c r="H996" t="n">
        <v>0.886599</v>
      </c>
      <c r="I996" t="n">
        <v>0.565798</v>
      </c>
      <c r="J996" t="n">
        <v>0.906129</v>
      </c>
      <c r="K996" t="n">
        <v>0</v>
      </c>
      <c r="L996" t="n">
        <v>0</v>
      </c>
      <c r="M996" t="n">
        <v>0.510995</v>
      </c>
    </row>
    <row r="997">
      <c r="A997" t="inlineStr">
        <is>
          <t>final-s3</t>
        </is>
      </c>
      <c r="B997" t="n">
        <v>1</v>
      </c>
      <c r="C997" t="n">
        <v>0.429814</v>
      </c>
      <c r="D997" t="n">
        <v>0.817043</v>
      </c>
      <c r="E997" t="n">
        <v>0.524691</v>
      </c>
      <c r="F997" t="n">
        <v>0.434562</v>
      </c>
      <c r="G997" t="n">
        <v>0.814623</v>
      </c>
      <c r="H997" t="n">
        <v>0.695376</v>
      </c>
      <c r="I997" t="n">
        <v>0.606832</v>
      </c>
      <c r="J997" t="n">
        <v>2.62785</v>
      </c>
      <c r="K997" t="n">
        <v>0</v>
      </c>
      <c r="L997" t="n">
        <v>0.002982</v>
      </c>
      <c r="M997" t="n">
        <v>0.501592</v>
      </c>
    </row>
    <row r="998">
      <c r="A998" t="inlineStr">
        <is>
          <t>final-s3</t>
        </is>
      </c>
      <c r="B998" t="n">
        <v>2</v>
      </c>
      <c r="C998" t="n">
        <v>0.366382</v>
      </c>
      <c r="D998" t="n">
        <v>0.847184</v>
      </c>
      <c r="E998" t="n">
        <v>0.399289</v>
      </c>
      <c r="F998" t="n">
        <v>0.37257</v>
      </c>
      <c r="G998" t="n">
        <v>0.8444199999999999</v>
      </c>
      <c r="H998" t="n">
        <v>0.75042</v>
      </c>
      <c r="I998" t="n">
        <v>0.645304</v>
      </c>
      <c r="J998" t="n">
        <v>2.029135</v>
      </c>
      <c r="K998" t="n">
        <v>0</v>
      </c>
      <c r="L998" t="n">
        <v>0.002927</v>
      </c>
      <c r="M998" t="n">
        <v>0.494252</v>
      </c>
    </row>
    <row r="999">
      <c r="A999" t="inlineStr">
        <is>
          <t>final-s3</t>
        </is>
      </c>
      <c r="B999" t="n">
        <v>3</v>
      </c>
      <c r="C999" t="n">
        <v>0.328541</v>
      </c>
      <c r="D999" t="n">
        <v>0.863092</v>
      </c>
      <c r="E999" t="n">
        <v>0.348484</v>
      </c>
      <c r="F999" t="n">
        <v>0.336446</v>
      </c>
      <c r="G999" t="n">
        <v>0.85877</v>
      </c>
      <c r="H999" t="n">
        <v>0.7632</v>
      </c>
      <c r="I999" t="n">
        <v>0.661758</v>
      </c>
      <c r="J999" t="n">
        <v>1.919827</v>
      </c>
      <c r="K999" t="n">
        <v>0</v>
      </c>
      <c r="L999" t="n">
        <v>0.002837</v>
      </c>
      <c r="M999" t="n">
        <v>0.494683</v>
      </c>
    </row>
    <row r="1000">
      <c r="A1000" t="inlineStr">
        <is>
          <t>final-s3</t>
        </is>
      </c>
      <c r="B1000" t="n">
        <v>4</v>
      </c>
      <c r="C1000" t="n">
        <v>0.295643</v>
      </c>
      <c r="D1000" t="n">
        <v>0.879063</v>
      </c>
      <c r="E1000" t="n">
        <v>0.316043</v>
      </c>
      <c r="F1000" t="n">
        <v>0.306256</v>
      </c>
      <c r="G1000" t="n">
        <v>0.873712</v>
      </c>
      <c r="H1000" t="n">
        <v>0.8065330000000001</v>
      </c>
      <c r="I1000" t="n">
        <v>0.661068</v>
      </c>
      <c r="J1000" t="n">
        <v>1.417129</v>
      </c>
      <c r="K1000" t="n">
        <v>0</v>
      </c>
      <c r="L1000" t="n">
        <v>0.002714</v>
      </c>
      <c r="M1000" t="n">
        <v>0.499564</v>
      </c>
    </row>
    <row r="1001">
      <c r="A1001" t="inlineStr">
        <is>
          <t>final-s3</t>
        </is>
      </c>
      <c r="B1001" t="n">
        <v>5</v>
      </c>
      <c r="C1001" t="n">
        <v>0.281286</v>
      </c>
      <c r="D1001" t="n">
        <v>0.884275</v>
      </c>
      <c r="E1001" t="n">
        <v>0.291833</v>
      </c>
      <c r="F1001" t="n">
        <v>0.292774</v>
      </c>
      <c r="G1001" t="n">
        <v>0.878908</v>
      </c>
      <c r="H1001" t="n">
        <v>0.800667</v>
      </c>
      <c r="I1001" t="n">
        <v>0.649896</v>
      </c>
      <c r="J1001" t="n">
        <v>1.567673</v>
      </c>
      <c r="K1001" t="n">
        <v>0</v>
      </c>
      <c r="L1001" t="n">
        <v>0.002561</v>
      </c>
      <c r="M1001" t="n">
        <v>0.493741</v>
      </c>
    </row>
    <row r="1002">
      <c r="A1002" t="inlineStr">
        <is>
          <t>final-s3</t>
        </is>
      </c>
      <c r="B1002" t="n">
        <v>6</v>
      </c>
      <c r="C1002" t="n">
        <v>0.258668</v>
      </c>
      <c r="D1002" t="n">
        <v>0.893811</v>
      </c>
      <c r="E1002" t="n">
        <v>0.274058</v>
      </c>
      <c r="F1002" t="n">
        <v>0.273485</v>
      </c>
      <c r="G1002" t="n">
        <v>0.888126</v>
      </c>
      <c r="H1002" t="n">
        <v>0.822017</v>
      </c>
      <c r="I1002" t="n">
        <v>0.662173</v>
      </c>
      <c r="J1002" t="n">
        <v>1.361031</v>
      </c>
      <c r="K1002" t="n">
        <v>0</v>
      </c>
      <c r="L1002" t="n">
        <v>0.002382</v>
      </c>
      <c r="M1002" t="n">
        <v>0.487349</v>
      </c>
    </row>
    <row r="1003">
      <c r="A1003" t="inlineStr">
        <is>
          <t>final-s3</t>
        </is>
      </c>
      <c r="B1003" t="n">
        <v>7</v>
      </c>
      <c r="C1003" t="n">
        <v>0.241806</v>
      </c>
      <c r="D1003" t="n">
        <v>0.901524</v>
      </c>
      <c r="E1003" t="n">
        <v>0.25916</v>
      </c>
      <c r="F1003" t="n">
        <v>0.257576</v>
      </c>
      <c r="G1003" t="n">
        <v>0.895334</v>
      </c>
      <c r="H1003" t="n">
        <v>0.831014</v>
      </c>
      <c r="I1003" t="n">
        <v>0.66955</v>
      </c>
      <c r="J1003" t="n">
        <v>1.680037</v>
      </c>
      <c r="K1003" t="n">
        <v>0</v>
      </c>
      <c r="L1003" t="n">
        <v>0.002181</v>
      </c>
      <c r="M1003" t="n">
        <v>0.5210320000000001</v>
      </c>
    </row>
    <row r="1004">
      <c r="A1004" t="inlineStr">
        <is>
          <t>final-s3</t>
        </is>
      </c>
      <c r="B1004" t="n">
        <v>8</v>
      </c>
      <c r="C1004" t="n">
        <v>0.237329</v>
      </c>
      <c r="D1004" t="n">
        <v>0.902836</v>
      </c>
      <c r="E1004" t="n">
        <v>0.245199</v>
      </c>
      <c r="F1004" t="n">
        <v>0.253185</v>
      </c>
      <c r="G1004" t="n">
        <v>0.896818</v>
      </c>
      <c r="H1004" t="n">
        <v>0.842894</v>
      </c>
      <c r="I1004" t="n">
        <v>0.66423</v>
      </c>
      <c r="J1004" t="n">
        <v>1.452015</v>
      </c>
      <c r="K1004" t="n">
        <v>0</v>
      </c>
      <c r="L1004" t="n">
        <v>0.001964</v>
      </c>
      <c r="M1004" t="n">
        <v>0.496105</v>
      </c>
    </row>
    <row r="1005">
      <c r="A1005" t="inlineStr">
        <is>
          <t>final-s3</t>
        </is>
      </c>
      <c r="B1005" t="n">
        <v>9</v>
      </c>
      <c r="C1005" t="n">
        <v>0.220347</v>
      </c>
      <c r="D1005" t="n">
        <v>0.910751</v>
      </c>
      <c r="E1005" t="n">
        <v>0.233275</v>
      </c>
      <c r="F1005" t="n">
        <v>0.238363</v>
      </c>
      <c r="G1005" t="n">
        <v>0.903154</v>
      </c>
      <c r="H1005" t="n">
        <v>0.851708</v>
      </c>
      <c r="I1005" t="n">
        <v>0.666692</v>
      </c>
      <c r="J1005" t="n">
        <v>1.513437</v>
      </c>
      <c r="K1005" t="n">
        <v>0</v>
      </c>
      <c r="L1005" t="n">
        <v>0.001735</v>
      </c>
      <c r="M1005" t="n">
        <v>0.501624</v>
      </c>
    </row>
    <row r="1006">
      <c r="A1006" t="inlineStr">
        <is>
          <t>final-s3</t>
        </is>
      </c>
      <c r="B1006" t="n">
        <v>10</v>
      </c>
      <c r="C1006" t="n">
        <v>0.211355</v>
      </c>
      <c r="D1006" t="n">
        <v>0.914502</v>
      </c>
      <c r="E1006" t="n">
        <v>0.223334</v>
      </c>
      <c r="F1006" t="n">
        <v>0.231746</v>
      </c>
      <c r="G1006" t="n">
        <v>0.905972</v>
      </c>
      <c r="H1006" t="n">
        <v>0.858339</v>
      </c>
      <c r="I1006" t="n">
        <v>0.674154</v>
      </c>
      <c r="J1006" t="n">
        <v>1.426614</v>
      </c>
      <c r="K1006" t="n">
        <v>0</v>
      </c>
      <c r="L1006" t="n">
        <v>0.0015</v>
      </c>
      <c r="M1006" t="n">
        <v>0.491247</v>
      </c>
    </row>
    <row r="1007">
      <c r="A1007" t="inlineStr">
        <is>
          <t>final-s3</t>
        </is>
      </c>
      <c r="B1007" t="n">
        <v>11</v>
      </c>
      <c r="C1007" t="n">
        <v>0.201165</v>
      </c>
      <c r="D1007" t="n">
        <v>0.920424</v>
      </c>
      <c r="E1007" t="n">
        <v>0.213121</v>
      </c>
      <c r="F1007" t="n">
        <v>0.221781</v>
      </c>
      <c r="G1007" t="n">
        <v>0.911017</v>
      </c>
      <c r="H1007" t="n">
        <v>0.863729</v>
      </c>
      <c r="I1007" t="n">
        <v>0.676714</v>
      </c>
      <c r="J1007" t="n">
        <v>1.600736</v>
      </c>
      <c r="K1007" t="n">
        <v>0</v>
      </c>
      <c r="L1007" t="n">
        <v>0.001265</v>
      </c>
      <c r="M1007" t="n">
        <v>0.499326</v>
      </c>
    </row>
    <row r="1008">
      <c r="A1008" t="inlineStr">
        <is>
          <t>final-s3</t>
        </is>
      </c>
      <c r="B1008" t="n">
        <v>12</v>
      </c>
      <c r="C1008" t="n">
        <v>0.195989</v>
      </c>
      <c r="D1008" t="n">
        <v>0.921183</v>
      </c>
      <c r="E1008" t="n">
        <v>0.204239</v>
      </c>
      <c r="F1008" t="n">
        <v>0.219105</v>
      </c>
      <c r="G1008" t="n">
        <v>0.911792</v>
      </c>
      <c r="H1008" t="n">
        <v>0.867892</v>
      </c>
      <c r="I1008" t="n">
        <v>0.664943</v>
      </c>
      <c r="J1008" t="n">
        <v>1.260232</v>
      </c>
      <c r="K1008" t="n">
        <v>0</v>
      </c>
      <c r="L1008" t="n">
        <v>0.001036</v>
      </c>
      <c r="M1008" t="n">
        <v>0.49772</v>
      </c>
    </row>
    <row r="1009">
      <c r="A1009" t="inlineStr">
        <is>
          <t>final-s3</t>
        </is>
      </c>
      <c r="B1009" t="n">
        <v>13</v>
      </c>
      <c r="C1009" t="n">
        <v>0.18658</v>
      </c>
      <c r="D1009" t="n">
        <v>0.926072</v>
      </c>
      <c r="E1009" t="n">
        <v>0.195827</v>
      </c>
      <c r="F1009" t="n">
        <v>0.210227</v>
      </c>
      <c r="G1009" t="n">
        <v>0.9162670000000001</v>
      </c>
      <c r="H1009" t="n">
        <v>0.876946</v>
      </c>
      <c r="I1009" t="n">
        <v>0.6564</v>
      </c>
      <c r="J1009" t="n">
        <v>1.469319</v>
      </c>
      <c r="K1009" t="n">
        <v>0</v>
      </c>
      <c r="L1009" t="n">
        <v>0.000819</v>
      </c>
      <c r="M1009" t="n">
        <v>0.487055</v>
      </c>
    </row>
    <row r="1010">
      <c r="A1010" t="inlineStr">
        <is>
          <t>final-s3</t>
        </is>
      </c>
      <c r="B1010" t="n">
        <v>14</v>
      </c>
      <c r="C1010" t="n">
        <v>0.18196</v>
      </c>
      <c r="D1010" t="n">
        <v>0.928108</v>
      </c>
      <c r="E1010" t="n">
        <v>0.187938</v>
      </c>
      <c r="F1010" t="n">
        <v>0.206059</v>
      </c>
      <c r="G1010" t="n">
        <v>0.917418</v>
      </c>
      <c r="H1010" t="n">
        <v>0.873992</v>
      </c>
      <c r="I1010" t="n">
        <v>0.633377</v>
      </c>
      <c r="J1010" t="n">
        <v>1.249583</v>
      </c>
      <c r="K1010" t="n">
        <v>0</v>
      </c>
      <c r="L1010" t="n">
        <v>0.000618</v>
      </c>
      <c r="M1010" t="n">
        <v>0.494642</v>
      </c>
    </row>
    <row r="1011">
      <c r="A1011" t="inlineStr">
        <is>
          <t>final-s3</t>
        </is>
      </c>
      <c r="B1011" t="n">
        <v>15</v>
      </c>
      <c r="C1011" t="n">
        <v>0.175004</v>
      </c>
      <c r="D1011" t="n">
        <v>0.9310659999999999</v>
      </c>
      <c r="E1011" t="n">
        <v>0.18206</v>
      </c>
      <c r="F1011" t="n">
        <v>0.199139</v>
      </c>
      <c r="G1011" t="n">
        <v>0.9207959999999999</v>
      </c>
      <c r="H1011" t="n">
        <v>0.881072</v>
      </c>
      <c r="I1011" t="n">
        <v>0.629189</v>
      </c>
      <c r="J1011" t="n">
        <v>1.104538</v>
      </c>
      <c r="K1011" t="n">
        <v>0</v>
      </c>
      <c r="L1011" t="n">
        <v>0.000439</v>
      </c>
      <c r="M1011" t="n">
        <v>0.505745</v>
      </c>
    </row>
    <row r="1012">
      <c r="A1012" t="inlineStr">
        <is>
          <t>final-s3</t>
        </is>
      </c>
      <c r="B1012" t="n">
        <v>16</v>
      </c>
      <c r="C1012" t="n">
        <v>0.171887</v>
      </c>
      <c r="D1012" t="n">
        <v>0.932849</v>
      </c>
      <c r="E1012" t="n">
        <v>0.176481</v>
      </c>
      <c r="F1012" t="n">
        <v>0.197181</v>
      </c>
      <c r="G1012" t="n">
        <v>0.921247</v>
      </c>
      <c r="H1012" t="n">
        <v>0.87993</v>
      </c>
      <c r="I1012" t="n">
        <v>0.62177</v>
      </c>
      <c r="J1012" t="n">
        <v>1.144715</v>
      </c>
      <c r="K1012" t="n">
        <v>0</v>
      </c>
      <c r="L1012" t="n">
        <v>0.000286</v>
      </c>
      <c r="M1012" t="n">
        <v>0.495621</v>
      </c>
    </row>
    <row r="1013">
      <c r="A1013" t="inlineStr">
        <is>
          <t>final-s3</t>
        </is>
      </c>
      <c r="B1013" t="n">
        <v>17</v>
      </c>
      <c r="C1013" t="n">
        <v>0.168208</v>
      </c>
      <c r="D1013" t="n">
        <v>0.9350000000000001</v>
      </c>
      <c r="E1013" t="n">
        <v>0.172199</v>
      </c>
      <c r="F1013" t="n">
        <v>0.193371</v>
      </c>
      <c r="G1013" t="n">
        <v>0.924206</v>
      </c>
      <c r="H1013" t="n">
        <v>0.8850749999999999</v>
      </c>
      <c r="I1013" t="n">
        <v>0.602749</v>
      </c>
      <c r="J1013" t="n">
        <v>1.148157</v>
      </c>
      <c r="K1013" t="n">
        <v>0</v>
      </c>
      <c r="L1013" t="n">
        <v>0.000163</v>
      </c>
      <c r="M1013" t="n">
        <v>0.49208</v>
      </c>
    </row>
    <row r="1014">
      <c r="A1014" t="inlineStr">
        <is>
          <t>final-s3</t>
        </is>
      </c>
      <c r="B1014" t="n">
        <v>18</v>
      </c>
      <c r="C1014" t="n">
        <v>0.166963</v>
      </c>
      <c r="D1014" t="n">
        <v>0.935414</v>
      </c>
      <c r="E1014" t="n">
        <v>0.169172</v>
      </c>
      <c r="F1014" t="n">
        <v>0.192548</v>
      </c>
      <c r="G1014" t="n">
        <v>0.924077</v>
      </c>
      <c r="H1014" t="n">
        <v>0.886095</v>
      </c>
      <c r="I1014" t="n">
        <v>0.589539</v>
      </c>
      <c r="J1014" t="n">
        <v>1.218781</v>
      </c>
      <c r="K1014" t="n">
        <v>0</v>
      </c>
      <c r="L1014" t="n">
        <v>7.3e-05</v>
      </c>
      <c r="M1014" t="n">
        <v>0.489634</v>
      </c>
    </row>
    <row r="1015">
      <c r="A1015" t="inlineStr">
        <is>
          <t>final-s3</t>
        </is>
      </c>
      <c r="B1015" t="n">
        <v>19</v>
      </c>
      <c r="C1015" t="n">
        <v>0.165877</v>
      </c>
      <c r="D1015" t="n">
        <v>0.935995</v>
      </c>
      <c r="E1015" t="n">
        <v>0.167093</v>
      </c>
      <c r="F1015" t="n">
        <v>0.191538</v>
      </c>
      <c r="G1015" t="n">
        <v>0.924378</v>
      </c>
      <c r="H1015" t="n">
        <v>0.886754</v>
      </c>
      <c r="I1015" t="n">
        <v>0.585364</v>
      </c>
      <c r="J1015" t="n">
        <v>1.215876</v>
      </c>
      <c r="K1015" t="n">
        <v>0</v>
      </c>
      <c r="L1015" t="n">
        <v>1.8e-05</v>
      </c>
      <c r="M1015" t="n">
        <v>0.493009</v>
      </c>
    </row>
    <row r="1016">
      <c r="A1016" t="inlineStr">
        <is>
          <t>final-s3</t>
        </is>
      </c>
      <c r="B1016" t="n">
        <v>20</v>
      </c>
      <c r="C1016" t="n">
        <v>0.165641</v>
      </c>
      <c r="D1016" t="n">
        <v>0.936183</v>
      </c>
      <c r="E1016" t="n">
        <v>0.165946</v>
      </c>
      <c r="F1016" t="n">
        <v>0.19126</v>
      </c>
      <c r="G1016" t="n">
        <v>0.924442</v>
      </c>
      <c r="H1016" t="n">
        <v>0.886198</v>
      </c>
      <c r="I1016" t="n">
        <v>0.575058</v>
      </c>
      <c r="J1016" t="n">
        <v>0.928022</v>
      </c>
      <c r="K1016" t="n">
        <v>0</v>
      </c>
      <c r="L1016" t="n">
        <v>0</v>
      </c>
      <c r="M1016" t="n">
        <v>0.5050829999999999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2026-10-02T03:40:32Z</dcterms:created>
  <dcterms:modified xsi:type="dcterms:W3CDTF">2026-10-04T02:38:47Z</dcterms:modified>
  <cp:revision>0</cp:revision>
</cp:coreProperties>
</file>